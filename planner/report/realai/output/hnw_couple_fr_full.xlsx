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 - Couverture" state="visible" r:id="rId4"/>
    <sheet sheetId="2" name="01 - README" state="visible" r:id="rId5"/>
    <sheet sheetId="3" name="Sommaire" state="visible" r:id="rId6"/>
    <sheet sheetId="4" name="Profil" state="visible" r:id="rId7"/>
    <sheet sheetId="5" name="Conjoint(e)" state="visible" r:id="rId8"/>
    <sheet sheetId="6" name="Diagnostic" state="visible" r:id="rId9"/>
    <sheet sheetId="7" name="Projection déterministe" state="visible" r:id="rId10"/>
    <sheet sheetId="8" name="Flux de trésorerie" state="visible" r:id="rId11"/>
    <sheet sheetId="9" name="MC — Patrimoine" state="visible" r:id="rId12"/>
    <sheet sheetId="10" name="Retraits détaillés" state="visible" r:id="rId13"/>
    <sheet sheetId="11" name="Fiscalité" state="visible" r:id="rId14"/>
    <sheet sheetId="12" name="Sensibilité &amp; Stress" state="visible" r:id="rId15"/>
    <sheet sheetId="13" name="Succession" state="visible" r:id="rId16"/>
    <sheet sheetId="14" name="Dettes" state="visible" r:id="rId17"/>
    <sheet sheetId="15" name="Assurance" state="visible" r:id="rId18"/>
    <sheet sheetId="16" name="Immobilier" state="visible" r:id="rId19"/>
    <sheet sheetId="17" name="Entreprise (CCPC)" state="visible" r:id="rId20"/>
    <sheet sheetId="18" name="Méthodologie" state="visible" r:id="rId21"/>
  </sheets>
  <definedNames>
    <definedName name="SuccessRate">Sommaire!$D$8</definedName>
    <definedName name="MedianWealth">Sommaire!$F$8</definedName>
    <definedName name="GuaranteedIncomeMonthly">Sommaire!$H$8</definedName>
    <definedName name="CoverageRatio">Sommaire!$J$8</definedName>
    <definedName name="TaxAlpha">Sommaire!$L$8</definedName>
    <definedName name="ResilienceScore">Sommaire!$F$10</definedName>
  </definedNames>
  <calcPr calcId="171027" fullCalcOnLoad="1"/>
</workbook>
</file>

<file path=xl/sharedStrings.xml><?xml version="1.0" encoding="utf-8"?>
<sst xmlns="http://schemas.openxmlformats.org/spreadsheetml/2006/main" count="724" uniqueCount="474">
  <si>
    <t>RAPPORT DÉTAILLÉ</t>
  </si>
  <si>
    <t>Rapport financier détaillé</t>
  </si>
  <si>
    <t>Francois Dubois</t>
  </si>
  <si>
    <t>20 avril 2026  •  2000 simulations MC  •  Moteur v12.0.0  •  ID BF-20260421T011818</t>
  </si>
  <si>
    <t>Taux de succès</t>
  </si>
  <si>
    <t>Patrimoine médian</t>
  </si>
  <si>
    <t>Note du plan</t>
  </si>
  <si>
    <t>Alpha fiscal</t>
  </si>
  <si>
    <t>A-</t>
  </si>
  <si>
    <t>Document généré automatiquement par BuildFi. Les projections sont informatives et ne constituent pas un conseil financier.</t>
  </si>
  <si>
    <t>README — Guide du fichier Excel</t>
  </si>
  <si>
    <t>BuildFi Technologies inc. • buildfi.ca</t>
  </si>
  <si>
    <t>Comment lire ce fichier</t>
  </si>
  <si>
    <t>1) Commencez par l'onglet Sommaire pour la vue exécutive.</t>
  </si>
  <si>
    <t>2) Utilisez Flux de trésorerie et Retraits détaillés pour le pas-à-pas annuel.</t>
  </si>
  <si>
    <t>3) Les montants sont en dollars nominaux sauf indication contraire.</t>
  </si>
  <si>
    <t>4) Les feuilles Sensibilité et Fiscalité montrent les écarts entre stratégies.</t>
  </si>
  <si>
    <t>5) Les résultats ne constituent pas un conseil financier.</t>
  </si>
  <si>
    <t>Navigation rapide</t>
  </si>
  <si>
    <t>Sommaire</t>
  </si>
  <si>
    <t>Profil</t>
  </si>
  <si>
    <t>Conjoint(e)</t>
  </si>
  <si>
    <t>Diagnostic</t>
  </si>
  <si>
    <t>Projection déterministe</t>
  </si>
  <si>
    <t>Flux de trésorerie</t>
  </si>
  <si>
    <t>MC — Patrimoine</t>
  </si>
  <si>
    <t>Retraits détaillés</t>
  </si>
  <si>
    <t>Fiscalité</t>
  </si>
  <si>
    <t>Sensibilité &amp; Stress</t>
  </si>
  <si>
    <t>Succession</t>
  </si>
  <si>
    <t>Dettes</t>
  </si>
  <si>
    <t>Assurance</t>
  </si>
  <si>
    <t>Immobilier</t>
  </si>
  <si>
    <t>Entreprise (CCPC)</t>
  </si>
  <si>
    <t>Méthodologie</t>
  </si>
  <si>
    <t>Données financières détaillées</t>
  </si>
  <si>
    <t>Préparé pour Francois Dubois — 20 avril 2026</t>
  </si>
  <si>
    <t>INDICATEURS CLÉS</t>
  </si>
  <si>
    <t>Succès MC</t>
  </si>
  <si>
    <t>Patrimoine ret.</t>
  </si>
  <si>
    <t>Rev. garantis</t>
  </si>
  <si>
    <t>Couverture</t>
  </si>
  <si>
    <t xml:space="preserve">Résilience composite (succès × marge VaR5) : </t>
  </si>
  <si>
    <t>Couverture faible  •  Épuisement P5 à 84 ans</t>
  </si>
  <si>
    <t>COMPARAISON: OPTIMISÉ vs PAR DÉFAUT</t>
  </si>
  <si>
    <t>Impact net des stratégies fiscales actives</t>
  </si>
  <si>
    <t>Métrique</t>
  </si>
  <si>
    <t>Votre plan</t>
  </si>
  <si>
    <t>Par défaut</t>
  </si>
  <si>
    <t>Delta</t>
  </si>
  <si>
    <t>Notes</t>
  </si>
  <si>
    <t>2000 sims</t>
  </si>
  <si>
    <t>Impôt total nominal</t>
  </si>
  <si>
    <t>Impôt total réel</t>
  </si>
  <si>
    <t>Actualisé</t>
  </si>
  <si>
    <t>Héritage net</t>
  </si>
  <si>
    <t>Années récup. PSV</t>
  </si>
  <si>
    <t>Taux effectif moyen</t>
  </si>
  <si>
    <t>NAVIGATION RAPIDE</t>
  </si>
  <si>
    <t>→ Profil du client</t>
  </si>
  <si>
    <t>→ Projection déterministe</t>
  </si>
  <si>
    <t>→ Flux de trésorerie</t>
  </si>
  <si>
    <t>→ MC — Patrimoine</t>
  </si>
  <si>
    <t>→ Fiscalité</t>
  </si>
  <si>
    <t>→ Succession</t>
  </si>
  <si>
    <t>→ Diagnostic</t>
  </si>
  <si>
    <t>→ Méthodologie</t>
  </si>
  <si>
    <t>BuildFi Technologies inc. — buildfi.ca  •  Outil informatif. Ne constitue pas un conseil financier. © 2026</t>
  </si>
  <si>
    <t>Profil du client</t>
  </si>
  <si>
    <t>Francois Dubois  •  20 avril 2026</t>
  </si>
  <si>
    <t>INFORMATIONS PERSONNELLES</t>
  </si>
  <si>
    <t>Âge</t>
  </si>
  <si>
    <t>58 ans</t>
  </si>
  <si>
    <t/>
  </si>
  <si>
    <t>Né(e) en 1968</t>
  </si>
  <si>
    <t>Retraite planifiée</t>
  </si>
  <si>
    <t>63 ans</t>
  </si>
  <si>
    <t>Dans 5 ans</t>
  </si>
  <si>
    <t>Horizon</t>
  </si>
  <si>
    <t>92 ans</t>
  </si>
  <si>
    <t>29 ans de retraite</t>
  </si>
  <si>
    <t>Province</t>
  </si>
  <si>
    <t>QC</t>
  </si>
  <si>
    <t>Salaire brut</t>
  </si>
  <si>
    <t>Dépenses retraite</t>
  </si>
  <si>
    <t>ÉPARGNE ET COTISATIONS</t>
  </si>
  <si>
    <t>Soldes actuels, cotisations annuelles et projections</t>
  </si>
  <si>
    <t>Compte</t>
  </si>
  <si>
    <t>Solde actuel</t>
  </si>
  <si>
    <t>Cotis./an</t>
  </si>
  <si>
    <t>Alloc. actions</t>
  </si>
  <si>
    <t>MER</t>
  </si>
  <si>
    <t>Solde retraite</t>
  </si>
  <si>
    <t>Solde décès</t>
  </si>
  <si>
    <t>REER</t>
  </si>
  <si>
    <t>CELI</t>
  </si>
  <si>
    <t>NR</t>
  </si>
  <si>
    <t>CELIAPP</t>
  </si>
  <si>
    <t>Total</t>
  </si>
  <si>
    <t>REVENUS GOUVERNEMENTAUX PROJETÉS</t>
  </si>
  <si>
    <t>Source</t>
  </si>
  <si>
    <t>Début</t>
  </si>
  <si>
    <t>Mensuel</t>
  </si>
  <si>
    <t>Annuel</t>
  </si>
  <si>
    <t>Indexation</t>
  </si>
  <si>
    <t>RRQ/QPP</t>
  </si>
  <si>
    <t>65 ans</t>
  </si>
  <si>
    <t>IPC</t>
  </si>
  <si>
    <t>PSV/OAS</t>
  </si>
  <si>
    <t>RRQ conjoint</t>
  </si>
  <si>
    <t>PSV conjoint</t>
  </si>
  <si>
    <t>—</t>
  </si>
  <si>
    <t>Couverture: 38%</t>
  </si>
  <si>
    <t>Projection indépendante: épargne, pensions, revenu, impôt</t>
  </si>
  <si>
    <t>PROFIL DU CONJOINT(E)</t>
  </si>
  <si>
    <t>Champ</t>
  </si>
  <si>
    <t>Valeur</t>
  </si>
  <si>
    <t>Sexe</t>
  </si>
  <si>
    <t>Femme</t>
  </si>
  <si>
    <t>Synchronisée avec le client</t>
  </si>
  <si>
    <t>Horizon (âge au décès)</t>
  </si>
  <si>
    <t>Pré-retraite</t>
  </si>
  <si>
    <t>Dépenses perso. mensuelles</t>
  </si>
  <si>
    <t>Part du conjoint(e)</t>
  </si>
  <si>
    <t>ÉPARGNE — ACTUELLE &amp; PROJETÉE</t>
  </si>
  <si>
    <t>Cotisation /an</t>
  </si>
  <si>
    <t>À la retraite (P50)</t>
  </si>
  <si>
    <t>Au décès (P50)</t>
  </si>
  <si>
    <t>Non-enregistré</t>
  </si>
  <si>
    <t>FHSA</t>
  </si>
  <si>
    <t>CRI / LIRA</t>
  </si>
  <si>
    <t>DC (pension 1)</t>
  </si>
  <si>
    <t>DC (pension 2)</t>
  </si>
  <si>
    <t>PENSIONS GOUVERNEMENTALES</t>
  </si>
  <si>
    <t>Prestation</t>
  </si>
  <si>
    <t>Âge début</t>
  </si>
  <si>
    <t>Base</t>
  </si>
  <si>
    <t>RRQ/RPC</t>
  </si>
  <si>
    <t>142 000 $ gains adm.</t>
  </si>
  <si>
    <t>Clawback selon revenu conjoint</t>
  </si>
  <si>
    <t>PENSION EMPLOYEUR</t>
  </si>
  <si>
    <t>Type</t>
  </si>
  <si>
    <t>Prestation mensuelle</t>
  </si>
  <si>
    <t>Pont / bridge</t>
  </si>
  <si>
    <t>2e pension</t>
  </si>
  <si>
    <t>Aucune</t>
  </si>
  <si>
    <t>Fixe</t>
  </si>
  <si>
    <t>Non</t>
  </si>
  <si>
    <t>IMPÔT CONJOINT(E) — PROJECTION MÉDIANE MC</t>
  </si>
  <si>
    <t>An</t>
  </si>
  <si>
    <t>Revenu imposable</t>
  </si>
  <si>
    <t>Impôt</t>
  </si>
  <si>
    <t>Taux effectif</t>
  </si>
  <si>
    <t>Diagnostic du plan</t>
  </si>
  <si>
    <t>Forces, vulnérabilités et actions prioritaires</t>
  </si>
  <si>
    <t>✔ FORCES</t>
  </si>
  <si>
    <t>⚠ VULNÉRABILITÉS</t>
  </si>
  <si>
    <t>→ ACTIONS PRIORITAIRES</t>
  </si>
  <si>
    <t>•</t>
  </si>
  <si>
    <t>Taux de succès élevé (90%) : le plan résiste à la plupart des scénarios de marché.</t>
  </si>
  <si>
    <t>Réserve VaR 5% limitée : 0 $ couvre moins de 2 ans de dépenses en scénario défavorable.</t>
  </si>
  <si>
    <t>Les garde-fous Guyton-Klinger moduleraient les retraits selon la performance — protection contre séquences défavorables.</t>
  </si>
  <si>
    <t>Mode couple : deux sources de revenus gouvernementaux (RRQ + PSV × 2), fractionnement de pension possible.</t>
  </si>
  <si>
    <t>Couverture vie basse vs besoin du survivant (0 $ vs ~570 000 $).</t>
  </si>
  <si>
    <t>Le fractionnement de revenu de pension (après 65) peut réduire l'impôt combiné du ménage.</t>
  </si>
  <si>
    <t>PSV débute à 65 : risque de récupération élevé si autres revenus importants.</t>
  </si>
  <si>
    <t>Le partage de la rente RRQ entre conjoints est disponible et peut lisser l'impôt.</t>
  </si>
  <si>
    <t>Un conseiller en sécurité financière (AMF) pourrait quantifier une couverture temporaire pour combler l'écart.</t>
  </si>
  <si>
    <t>L'activation de la distribution à queues épaisses (fat-tail) testerait la robustesse face aux krachs rares.</t>
  </si>
  <si>
    <t>Diagnostic généré à partir des résultats Monte Carlo et des paramètres du plan. Les observations sont descriptives, non prescriptives. Pour des recommandations personnalisées, consultez un planificateur financier qualifié.</t>
  </si>
  <si>
    <t>Projection déterministe — chemin unique</t>
  </si>
  <si>
    <t>Rendements espérés constants, aucune volatilité  •  Valeurs nominales</t>
  </si>
  <si>
    <t>Hypothèque</t>
  </si>
  <si>
    <t>Avoir immo.</t>
  </si>
  <si>
    <t>Total financier</t>
  </si>
  <si>
    <t>Total net</t>
  </si>
  <si>
    <t>Phase</t>
  </si>
  <si>
    <t>Accumulation</t>
  </si>
  <si>
    <t>Décaissement</t>
  </si>
  <si>
    <t>Flux de trésorerie annuel</t>
  </si>
  <si>
    <t>Revenus, dépenses, retraits et impôt</t>
  </si>
  <si>
    <t>Salaire</t>
  </si>
  <si>
    <t>SRG</t>
  </si>
  <si>
    <t>Pension</t>
  </si>
  <si>
    <t>Retraits ép.</t>
  </si>
  <si>
    <t>Dépenses</t>
  </si>
  <si>
    <t>Taux eff.</t>
  </si>
  <si>
    <t>Rev. imposable</t>
  </si>
  <si>
    <t>Monte Carlo — Distribution du patrimoine financier</t>
  </si>
  <si>
    <t>PATRIMOINE FINAL (âge 92)</t>
  </si>
  <si>
    <t>P5</t>
  </si>
  <si>
    <t>P25</t>
  </si>
  <si>
    <t>P50 (médiane)</t>
  </si>
  <si>
    <t>P75</t>
  </si>
  <si>
    <t>P95</t>
  </si>
  <si>
    <t>Déterministe</t>
  </si>
  <si>
    <t>P5 (pire 5%)</t>
  </si>
  <si>
    <t>P95 (meil. 5%)</t>
  </si>
  <si>
    <t>Écart P50-Det.</t>
  </si>
  <si>
    <t>Fourch. P5-P95</t>
  </si>
  <si>
    <t>DISTRIBUTION DU PATRIMOINE FINAL (HISTOGRAMME)</t>
  </si>
  <si>
    <t>Bin #</t>
  </si>
  <si>
    <t>Borne inf.</t>
  </si>
  <si>
    <t>Borne sup.</t>
  </si>
  <si>
    <t>% des sims</t>
  </si>
  <si>
    <t>AGES DE DÉCÈS VS RUINE (SEAUX DE 5 ANS)</t>
  </si>
  <si>
    <t>Décès (nb)</t>
  </si>
  <si>
    <t>Ruines (nb)</t>
  </si>
  <si>
    <t>Ratio ruine/décès</t>
  </si>
  <si>
    <t>Détail des retraits par source et par phase</t>
  </si>
  <si>
    <t>Stratégie optimized: NR → Meltdown → REER → CELI</t>
  </si>
  <si>
    <t>PHASE 1 — PRÉ-RRQ  (63–64 ans)</t>
  </si>
  <si>
    <t>Meltdown actif pour vider le REER dans les paliers bas</t>
  </si>
  <si>
    <t>FERR min.</t>
  </si>
  <si>
    <t>Meltdown</t>
  </si>
  <si>
    <t>REER vol.</t>
  </si>
  <si>
    <t>Total retraits</t>
  </si>
  <si>
    <t>Début retraite</t>
  </si>
  <si>
    <t>TOTAL phase</t>
  </si>
  <si>
    <t>2 ans • moy. 274 738 $/an</t>
  </si>
  <si>
    <t>PHASE 2 — POST-PSV  (65–71 ans)</t>
  </si>
  <si>
    <t>RRQ commence</t>
  </si>
  <si>
    <t>7 ans • moy. 121 932 $/an</t>
  </si>
  <si>
    <t>PHASE 3 — FERR  (72+ ans)</t>
  </si>
  <si>
    <t>Retraits FERR minimum obligatoires</t>
  </si>
  <si>
    <t>RRIF</t>
  </si>
  <si>
    <t>21 ans • moy. 85 344 $/an</t>
  </si>
  <si>
    <t>Analyse fiscale — QC</t>
  </si>
  <si>
    <t>Paliers 2026  •  Comparaison optimisé vs par défaut</t>
  </si>
  <si>
    <t>GRILLE D'IMPOSITION 2026</t>
  </si>
  <si>
    <t>Fédéral + QC — taux combinés</t>
  </si>
  <si>
    <t>Fédéral</t>
  </si>
  <si>
    <t>Prov.</t>
  </si>
  <si>
    <t>Taux marg.</t>
  </si>
  <si>
    <t>COMPARAISON FISCALE VIE ENTIÈRE</t>
  </si>
  <si>
    <t>Optimisé</t>
  </si>
  <si>
    <t>Alpha fiscal total</t>
  </si>
  <si>
    <t>REVENU IMPOSABLE PAR SOURCE (15 premières années de retraite)</t>
  </si>
  <si>
    <t>Pension empl.</t>
  </si>
  <si>
    <t>FERR/RRIF</t>
  </si>
  <si>
    <t>Locatif net</t>
  </si>
  <si>
    <t>Autres</t>
  </si>
  <si>
    <t>EFFICACITÉ DES TRANCHES FISCALES</t>
  </si>
  <si>
    <t>Cible meltdown</t>
  </si>
  <si>
    <t>Écart</t>
  </si>
  <si>
    <t>Taux marginal</t>
  </si>
  <si>
    <t>Palier</t>
  </si>
  <si>
    <t>3e (26%)</t>
  </si>
  <si>
    <t>Analyse de sensibilité &amp; scénarios de stress</t>
  </si>
  <si>
    <t>TORNADO — CE QUI INFLUENCE LE PLUS VOTRE PLAN</t>
  </si>
  <si>
    <t>Impact estimé sur le patrimoine final</t>
  </si>
  <si>
    <t>Facteur</t>
  </si>
  <si>
    <t>Impact négatif</t>
  </si>
  <si>
    <t>Impact positif</t>
  </si>
  <si>
    <t>Amplitude</t>
  </si>
  <si>
    <t>Interprétation</t>
  </si>
  <si>
    <t>Dépenses/m</t>
  </si>
  <si>
    <t>Âge retraite</t>
  </si>
  <si>
    <t>Inflation</t>
  </si>
  <si>
    <t>Alloc. CELI</t>
  </si>
  <si>
    <t>Alloc. REER</t>
  </si>
  <si>
    <t>Pension DB</t>
  </si>
  <si>
    <t>Vol. actions</t>
  </si>
  <si>
    <t>RRQ/RPC début</t>
  </si>
  <si>
    <t>SCÉNARIOS DE STRESS</t>
  </si>
  <si>
    <t>Conditions historiques appliquées</t>
  </si>
  <si>
    <t>Scénario</t>
  </si>
  <si>
    <t>Période</t>
  </si>
  <si>
    <t>Succès</t>
  </si>
  <si>
    <t>Patrimoine P50</t>
  </si>
  <si>
    <t>VaR 5%</t>
  </si>
  <si>
    <t>Ruine P5</t>
  </si>
  <si>
    <t>Résilience</t>
  </si>
  <si>
    <t>Description</t>
  </si>
  <si>
    <t>Référence</t>
  </si>
  <si>
    <t>Plan tel que configuré</t>
  </si>
  <si>
    <t>TRAJECTOIRE ANNÉE-PAR-ANNÉE — PIRE SCÉNARIO</t>
  </si>
  <si>
    <t>Aucun scénario de stress exécuté pour ce plan. Lancez la comparaison des scénarios dans l'onglet Sensibilité/Stress du planificateur pour peupler cette section.</t>
  </si>
  <si>
    <t>Analyse successorale</t>
  </si>
  <si>
    <t>Distribution MC de l'héritage net  •  Cascade fiscale au décès</t>
  </si>
  <si>
    <t>DISTRIBUTION DE L'HÉRITAGE NET (2000 SIMULATIONS)</t>
  </si>
  <si>
    <t>Percentile</t>
  </si>
  <si>
    <t>Impôt success.</t>
  </si>
  <si>
    <t>Patrimoine brut</t>
  </si>
  <si>
    <t>Marchés très défavorables</t>
  </si>
  <si>
    <t>Quart inférieur</t>
  </si>
  <si>
    <t>P50</t>
  </si>
  <si>
    <t>Résultat le plus probable</t>
  </si>
  <si>
    <t>Marchés favorables</t>
  </si>
  <si>
    <t>Marchés très haussiers</t>
  </si>
  <si>
    <t>CASCADE FISCALE AU DÉCÈS (MÉDIANE)</t>
  </si>
  <si>
    <t>Composante</t>
  </si>
  <si>
    <t>Montant</t>
  </si>
  <si>
    <t>Actifs financiers bruts (P50)</t>
  </si>
  <si>
    <t>Médiane MC</t>
  </si>
  <si>
    <t>Héritage net + impôt total (moteur)</t>
  </si>
  <si>
    <t>(−) Disposition FERR</t>
  </si>
  <si>
    <t>Solde REER × taux QC</t>
  </si>
  <si>
    <t>Calculé via calcTax, aligné moteur</t>
  </si>
  <si>
    <t>(−) Gains capital NR</t>
  </si>
  <si>
    <t>50% inclusion × 30% taux</t>
  </si>
  <si>
    <t>Proxy — moteur suit l'ACB par sim</t>
  </si>
  <si>
    <t>(−) Résidence principale</t>
  </si>
  <si>
    <t>Exemptée (art. 40(2)(b) LIR)</t>
  </si>
  <si>
    <t>Aucun gain en capital au décès</t>
  </si>
  <si>
    <t>(−) Autres impôts</t>
  </si>
  <si>
    <t>Résiduel MC</t>
  </si>
  <si>
    <t>Écart entre cascade et moteur (récup. REER, étrangers, etc.)</t>
  </si>
  <si>
    <t>(−) Homologation</t>
  </si>
  <si>
    <t>0% (QC)</t>
  </si>
  <si>
    <t>Taux provincial appliqué au brut</t>
  </si>
  <si>
    <t>(−) Frais admin.</t>
  </si>
  <si>
    <t>0,5% + 5 000 $</t>
  </si>
  <si>
    <t>Notaire + comptable</t>
  </si>
  <si>
    <t>(+) Assurance-vie</t>
  </si>
  <si>
    <t>Prestation au décès</t>
  </si>
  <si>
    <t>Non imposable — transférée aux bénéficiaires</t>
  </si>
  <si>
    <t>HÉRITAGE NET (MÉDIANE MC)</t>
  </si>
  <si>
    <t>Moteur</t>
  </si>
  <si>
    <t>Aligne avec rapport HTML</t>
  </si>
  <si>
    <t>Dettes et échéancier</t>
  </si>
  <si>
    <t>Soldes, paiements mensuels, année de liquidation</t>
  </si>
  <si>
    <t>AUCUNE DETTE ACTIVE</t>
  </si>
  <si>
    <t>Le plan n'inclut aucune dette avec solde positif. Si vous avez une marge de crédit, prêt auto, prêt étudiant ou solde de carte de crédit, ajoutez-le dans la section Dettes du formulaire pour qu'il soit intégré aux projections (intérêts déduits du cash flow, remboursement planifié avant la retraite). Votre hypothèque résidentielle est gérée dans l'onglet Immobilier, pas ici.</t>
  </si>
  <si>
    <t>Protection d'assurance</t>
  </si>
  <si>
    <t>Vie • Invalidité • Maladies graves • Assurance collective</t>
  </si>
  <si>
    <t>INVENTAIRE DES COUVERTURES</t>
  </si>
  <si>
    <t>Titulaire</t>
  </si>
  <si>
    <t>Prime /mois</t>
  </si>
  <si>
    <t>Prime /an</t>
  </si>
  <si>
    <t>Police</t>
  </si>
  <si>
    <t>Aucune couverture saisie. Si vous avez des polices, remplissez-les dans la section Assurances du formulaire — elles seront incluses dans le plan (primes déduites du cash flow, prestation au décès ajoutée au patrimoine successoral, invalidité/maladies graves modélisées).</t>
  </si>
  <si>
    <t>ANALYSE DE BESOIN — VIE</t>
  </si>
  <si>
    <t>Calcul</t>
  </si>
  <si>
    <t>Revenu survivant (70%)</t>
  </si>
  <si>
    <t>79 800 $/an × 29 ans</t>
  </si>
  <si>
    <t>Enfants (REEE + coûts)</t>
  </si>
  <si>
    <t>0 enfant(s) × 250 000 $</t>
  </si>
  <si>
    <t>Remboursement dettes</t>
  </si>
  <si>
    <t>0 compte(s)</t>
  </si>
  <si>
    <t>Soldes hypothécaires</t>
  </si>
  <si>
    <t>0 propriété(s)</t>
  </si>
  <si>
    <t>Frais funéraires + succession</t>
  </si>
  <si>
    <t>Médiane canadienne</t>
  </si>
  <si>
    <t>BESOIN TOTAL</t>
  </si>
  <si>
    <t>(−) Patrimoine projeté au décès (P50)</t>
  </si>
  <si>
    <t>(−) Couverture vie existante</t>
  </si>
  <si>
    <t>Somme des polices vie</t>
  </si>
  <si>
    <t>ÉCART (besoin additionnel)</t>
  </si>
  <si>
    <t>0 $ = aucun manque</t>
  </si>
  <si>
    <t>Cette analyse est informative. Consultez un conseiller en sécurité financière (titulaire de permis AMF au Québec) pour évaluer vos besoins spécifiques et les produits adaptés.</t>
  </si>
  <si>
    <t>Analyse immobilière</t>
  </si>
  <si>
    <t>Propriétés, hypothèques, trajectoire de l'avoir net</t>
  </si>
  <si>
    <t>Propriété</t>
  </si>
  <si>
    <t>Valeur actuelle</t>
  </si>
  <si>
    <t>Avoir net</t>
  </si>
  <si>
    <t>Taux hyp.</t>
  </si>
  <si>
    <t>Amort.</t>
  </si>
  <si>
    <t>Appréc.</t>
  </si>
  <si>
    <t>Rev. locatif</t>
  </si>
  <si>
    <t>Non applicable — aucune corporation configurée dans ce plan</t>
  </si>
  <si>
    <t>SECTION NON ACTIVE</t>
  </si>
  <si>
    <t>Cette feuille projette les actifs corporatifs (solde, impôt, dividendes, extraction, CDA, RDTOH) pour les propriétaires</t>
  </si>
  <si>
    <t>de société privée sous contrôle canadien (SPCC).</t>
  </si>
  <si>
    <t>Votre plan n'a pas activé le module Entreprise — aucun revenu ni solde corporatif n'est modélisé.</t>
  </si>
  <si>
    <t>Pour activer : dans le formulaire, ouvrez la section Entreprise et choisissez le type SPCC ou travailleur autonome,</t>
  </si>
  <si>
    <t>puis entrez les revenus/dépenses et votre mode de rémunération (salaire, dividende ou mixte).</t>
  </si>
  <si>
    <t>Conséquences de l'absence :</t>
  </si>
  <si>
    <t xml:space="preserve">  • Les projections du patrimoine n'incluent aucun solde corporatif.</t>
  </si>
  <si>
    <t xml:space="preserve">  • La fiscalité d'extraction à la retraite n'est pas calculée.</t>
  </si>
  <si>
    <t xml:space="preserve">  • La DGC (déduction pour gains en capital) sur vente d'actions admissibles n'est pas appliquée.</t>
  </si>
  <si>
    <t>Méthodologie &amp; avis légal</t>
  </si>
  <si>
    <t>Fonctionnement du moteur  •  Paramètres de lissage  •  Avis réglementaire</t>
  </si>
  <si>
    <t>COMPOSANTES DU MOTEUR</t>
  </si>
  <si>
    <t>Détails</t>
  </si>
  <si>
    <t>1. Projection déterministe</t>
  </si>
  <si>
    <t>Chemin unique, rendements espérés</t>
  </si>
  <si>
    <t>optimizeDecum()</t>
  </si>
  <si>
    <t>2. Monte Carlo</t>
  </si>
  <si>
    <t>t-Student (df=5)</t>
  </si>
  <si>
    <t>3. Corrélation</t>
  </si>
  <si>
    <t>5 classes d'actifs</t>
  </si>
  <si>
    <t>Cholesky 5×5</t>
  </si>
  <si>
    <t>4. Fiscalité</t>
  </si>
  <si>
    <t>Paliers progressifs</t>
  </si>
  <si>
    <t>Crédits âge/pension, récup. PSV</t>
  </si>
  <si>
    <t>5. Mortalité</t>
  </si>
  <si>
    <t>6. Retraits</t>
  </si>
  <si>
    <t>Ordre dynamique</t>
  </si>
  <si>
    <t>NR → Meltdown → REER → CELI</t>
  </si>
  <si>
    <t>7. Lissage</t>
  </si>
  <si>
    <t>Évite les variations brusques</t>
  </si>
  <si>
    <t>MC blend 70/30</t>
  </si>
  <si>
    <t>8. Comportemental</t>
  </si>
  <si>
    <t>Ajustement selon l'âge</t>
  </si>
  <si>
    <t>Go 0% / Slow 0% / No 0%</t>
  </si>
  <si>
    <t>CONSTANTES DE LISSAGE</t>
  </si>
  <si>
    <t>Constante</t>
  </si>
  <si>
    <t>Rôle</t>
  </si>
  <si>
    <t>MELT</t>
  </si>
  <si>
    <t>±40%/an</t>
  </si>
  <si>
    <t>MELT_FLOOR</t>
  </si>
  <si>
    <t>5 000 $</t>
  </si>
  <si>
    <t>SPEND</t>
  </si>
  <si>
    <t>±30%/an</t>
  </si>
  <si>
    <t>SPEND_FLOOR</t>
  </si>
  <si>
    <t>10 000 $</t>
  </si>
  <si>
    <t>BACK</t>
  </si>
  <si>
    <t>±40%</t>
  </si>
  <si>
    <t>BACK_FLOOR</t>
  </si>
  <si>
    <t>15 000 $</t>
  </si>
  <si>
    <t>NR_OVER</t>
  </si>
  <si>
    <t>1.50×</t>
  </si>
  <si>
    <t>MC_BLEND</t>
  </si>
  <si>
    <t>70/30</t>
  </si>
  <si>
    <t>IDENTIFICATION DU RAPPORT</t>
  </si>
  <si>
    <t>Version</t>
  </si>
  <si>
    <t>v11.12.9</t>
  </si>
  <si>
    <t>Date</t>
  </si>
  <si>
    <t>20 avril 2026</t>
  </si>
  <si>
    <t>Client</t>
  </si>
  <si>
    <t>Simulations</t>
  </si>
  <si>
    <t>2000</t>
  </si>
  <si>
    <t>Mortalité</t>
  </si>
  <si>
    <t>HYPOTHÈSES UTILISÉES DANS CE PLAN</t>
  </si>
  <si>
    <t>Paramètre</t>
  </si>
  <si>
    <t>Inflation (IPC général)</t>
  </si>
  <si>
    <t>PAG 2025: 2,1%</t>
  </si>
  <si>
    <t>Inflation — santé excedentaire</t>
  </si>
  <si>
    <t>+2% sur IPC après 75 ans</t>
  </si>
  <si>
    <t>Rendement actions (réel)</t>
  </si>
  <si>
    <t>PAG 2025: 6,9%</t>
  </si>
  <si>
    <t>Volatilité actions</t>
  </si>
  <si>
    <t>PAG 2025: 16%</t>
  </si>
  <si>
    <t>Rendement obligations (réel)</t>
  </si>
  <si>
    <t>PAG 2025: 3.4%</t>
  </si>
  <si>
    <t>Volatilité obligations</t>
  </si>
  <si>
    <t>PAG 2025: 6%</t>
  </si>
  <si>
    <t>Volatilité FX</t>
  </si>
  <si>
    <t>Sur placements étrangers</t>
  </si>
  <si>
    <t>Allocation REER (% actions)</t>
  </si>
  <si>
    <t>Allocation CELI (% actions)</t>
  </si>
  <si>
    <t>Allocation NR (% actions)</t>
  </si>
  <si>
    <t>Frais REER (MER)</t>
  </si>
  <si>
    <t>Frais CELI (MER)</t>
  </si>
  <si>
    <t>Frais NR (MER)</t>
  </si>
  <si>
    <t>Drag fiscal NR</t>
  </si>
  <si>
    <t>Dividendes + intérêts annuels</t>
  </si>
  <si>
    <t>Inclusion gains en capital (sous seuil)</t>
  </si>
  <si>
    <t>50% (2024)</t>
  </si>
  <si>
    <t>Inclusion gains en capital (au-dessus)</t>
  </si>
  <si>
    <t>66,67% (2024)</t>
  </si>
  <si>
    <t>Seuil annuel gain en capital</t>
  </si>
  <si>
    <t>250 000 $/an</t>
  </si>
  <si>
    <t>Multiplicateur Go-Go</t>
  </si>
  <si>
    <t>Dépenses tranche 1</t>
  </si>
  <si>
    <t>Multiplicateur Slow-Go</t>
  </si>
  <si>
    <t>Dépenses tranche 2</t>
  </si>
  <si>
    <t>Multiplicateur No-Go</t>
  </si>
  <si>
    <t>Dépenses tranche 3</t>
  </si>
  <si>
    <t>Âge début Slow-Go</t>
  </si>
  <si>
    <t>Âge début No-Go</t>
  </si>
  <si>
    <t>Simulations Monte Carlo</t>
  </si>
  <si>
    <t>Glide path activé</t>
  </si>
  <si>
    <t>Queues épaisses (fat-tail)</t>
  </si>
  <si>
    <t>Non (Normal)</t>
  </si>
  <si>
    <t>Inflation stochastique</t>
  </si>
  <si>
    <t>Mortalité stochastique</t>
  </si>
  <si>
    <t>Stratégie de retrait</t>
  </si>
  <si>
    <t>optimized</t>
  </si>
  <si>
    <t>Province fiscale</t>
  </si>
  <si>
    <t>AVIS RÉGLEMENTAIRE</t>
  </si>
  <si>
    <t>Les projections sont fournies à titre informatif uniquement et ne constituent pas un conseil financier.</t>
  </si>
  <si>
    <t>BuildFi Technologies inc. n'est pas un conseiller financier.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</si>
</sst>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quot; $&quot;"/>
    <numFmt numFmtId="165" formatCode="#,##0&quot; K$&quot;"/>
    <numFmt numFmtId="166" formatCode="#,##0&quot; $/m&quot;"/>
    <numFmt numFmtId="167" formatCode="+0&quot; pts&quot;;-0&quot; pts&quot;;0&quot; pts&quot;"/>
    <numFmt numFmtId="168" formatCode="+#,##0;-#,##0;0"/>
    <numFmt numFmtId="169" formatCode="0.0&quot;%&quot;"/>
    <numFmt numFmtId="170" formatCode="#,##0&quot; $&quot;;[Red](#,##0&quot; $&quot;);&quot;-&quot;"/>
    <numFmt numFmtId="171" formatCode="0&quot; ans&quot;"/>
  </numFmts>
  <fonts count="37" x14ac:knownFonts="1">
    <font>
      <color theme="1"/>
      <family val="2"/>
      <scheme val="minor"/>
      <sz val="11"/>
      <name val="Calibri"/>
    </font>
    <font>
      <b/>
      <color rgb="FFC4944A"/>
      <sz val="28"/>
      <name val="Calibri"/>
    </font>
    <font>
      <color rgb="FFC4944A"/>
      <sz val="13"/>
      <name val="Calibri"/>
    </font>
    <font>
      <b/>
      <color rgb="FFFFFFFF"/>
      <sz val="18"/>
      <name val="Calibri"/>
    </font>
    <font>
      <color rgb="FFCCCCCC"/>
      <sz val="10"/>
      <name val="Calibri"/>
    </font>
    <font>
      <color rgb="FF888888"/>
      <sz val="10"/>
      <name val="Calibri"/>
    </font>
    <font>
      <b/>
      <color rgb="FFC4944A"/>
      <sz val="30"/>
      <name val="Calibri"/>
    </font>
    <font>
      <b/>
      <color rgb="FFC4944A"/>
      <sz val="24"/>
      <name val="Calibri"/>
    </font>
    <font>
      <b/>
      <color rgb="FF2A8C46"/>
      <sz val="30"/>
      <name val="Calibri"/>
    </font>
    <font>
      <i/>
      <color rgb="FF888888"/>
      <sz val="11"/>
      <name val="Calibri"/>
    </font>
    <font>
      <b/>
      <color rgb="FFC4944A"/>
      <sz val="18"/>
      <name val="Calibri"/>
    </font>
    <font>
      <b/>
      <color rgb="FFC4944A"/>
      <sz val="13"/>
      <name val="Calibri"/>
    </font>
    <font>
      <color rgb="FF333333"/>
      <sz val="11"/>
      <name val="Calibri"/>
    </font>
    <font>
      <u/>
      <color rgb="FF1D4ED8"/>
      <sz val="11"/>
      <name val="Calibri"/>
    </font>
    <font>
      <b/>
      <color rgb="FFC4944A"/>
      <sz val="22"/>
      <name val="Calibri"/>
    </font>
    <font>
      <b/>
      <color rgb="FFFFFFFF"/>
      <sz val="16"/>
      <name val="Calibri"/>
    </font>
    <font>
      <b/>
      <color rgb="FF2A8C46"/>
      <sz val="22"/>
      <name val="Calibri"/>
    </font>
    <font>
      <b/>
      <color rgb="FF888888"/>
      <sz val="11"/>
      <name val="Calibri"/>
    </font>
    <font>
      <b/>
      <color rgb="FFB83838"/>
      <sz val="14"/>
      <name val="Calibri"/>
    </font>
    <font>
      <i/>
      <color rgb="FF888888"/>
      <sz val="10"/>
      <name val="Calibri"/>
    </font>
    <font>
      <b/>
      <color rgb="FFFFFFFF"/>
      <sz val="11"/>
      <name val="Calibri"/>
    </font>
    <font>
      <b/>
      <color rgb="FFB83838"/>
      <sz val="11"/>
      <name val="Calibri"/>
    </font>
    <font>
      <u/>
      <color rgb="FFC4944A"/>
      <sz val="11"/>
      <name val="Calibri"/>
    </font>
    <font>
      <i/>
      <color rgb="FF94A3B8"/>
      <sz val="9"/>
      <name val="Calibri"/>
    </font>
    <font>
      <b/>
      <color rgb="FF333333"/>
      <sz val="15"/>
      <name val="Calibri"/>
    </font>
    <font>
      <b/>
      <color rgb="FF333333"/>
      <sz val="11"/>
      <name val="Calibri"/>
    </font>
    <font>
      <b/>
      <color rgb="FFC4944A"/>
      <sz val="11"/>
      <name val="Calibri"/>
    </font>
    <font>
      <b/>
      <color rgb="FF2A6B3C"/>
      <sz val="12"/>
      <name val="Calibri"/>
    </font>
    <font>
      <b/>
      <color rgb="FFB83838"/>
      <sz val="12"/>
      <name val="Calibri"/>
    </font>
    <font>
      <b/>
      <color rgb="FFC4944A"/>
      <sz val="12"/>
      <name val="Calibri"/>
    </font>
    <font>
      <b/>
      <color rgb="FF2A6B3C"/>
      <sz val="14"/>
      <name val="Calibri"/>
    </font>
    <font>
      <b/>
      <color rgb="FFC4944A"/>
      <sz val="14"/>
      <name val="Calibri"/>
    </font>
    <font>
      <b/>
      <color rgb="FF888888"/>
      <sz val="10"/>
      <name val="Calibri"/>
    </font>
    <font>
      <b/>
      <color rgb="FFA07830"/>
      <sz val="12"/>
      <name val="Calibri"/>
    </font>
    <font>
      <b/>
      <color rgb="FFC4944A"/>
      <sz val="10"/>
      <name val="Calibri"/>
    </font>
    <font>
      <i/>
      <color rgb="FF888888"/>
      <sz val="9"/>
      <name val="Calibri"/>
    </font>
    <font>
      <color rgb="FFB83838"/>
      <sz val="11"/>
      <name val="Calibri"/>
    </font>
  </fonts>
  <fills count="8">
    <fill>
      <patternFill patternType="none"/>
    </fill>
    <fill>
      <patternFill patternType="gray125"/>
    </fill>
    <fill>
      <patternFill patternType="solid">
        <fgColor rgb="FF2C2418"/>
      </patternFill>
    </fill>
    <fill>
      <patternFill patternType="solid">
        <fgColor rgb="FFFAF6EF"/>
      </patternFill>
    </fill>
    <fill>
      <patternFill patternType="solid">
        <fgColor rgb="FFC4944A"/>
      </patternFill>
    </fill>
    <fill>
      <patternFill patternType="solid">
        <fgColor rgb="FFF9F7F2"/>
      </patternFill>
    </fill>
    <fill>
      <patternFill patternType="solid">
        <fgColor rgb="FFFCE4E4"/>
      </patternFill>
    </fill>
    <fill>
      <patternFill patternType="solid">
        <fgColor rgb="FFF5EDE0"/>
      </patternFill>
    </fill>
  </fills>
  <borders count="4">
    <border>
      <left/>
      <right/>
      <top/>
      <bottom/>
      <diagonal/>
    </border>
    <border>
      <left style="thin">
        <color rgb="FFD6D0C4"/>
      </left>
      <right style="thin">
        <color rgb="FFD6D0C4"/>
      </right>
      <top style="thin">
        <color rgb="FFD6D0C4"/>
      </top>
      <bottom style="thin">
        <color rgb="FFD6D0C4"/>
      </bottom>
      <diagonal/>
    </border>
    <border>
      <left/>
      <right/>
      <top/>
      <bottom style="thin">
        <color rgb="FFD6D0C4"/>
      </bottom>
      <diagonal/>
    </border>
    <border>
      <left style="thin">
        <color rgb="FF94A3B8"/>
      </left>
      <right style="thin">
        <color rgb="FF94A3B8"/>
      </right>
      <top style="thin">
        <color rgb="FF94A3B8"/>
      </top>
      <bottom style="thin">
        <color rgb="FF94A3B8"/>
      </bottom>
      <diagonal/>
    </border>
  </borders>
  <cellStyleXfs count="1">
    <xf numFmtId="0" fontId="0" fillId="0" borderId="0"/>
  </cellStyleXfs>
  <cellXfs count="93">
    <xf numFmtId="0" fontId="0" fillId="0" borderId="0" xfId="0"/>
    <xf numFmtId="0" fontId="0" fillId="2" borderId="0" xfId="0" applyFill="1"/>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164" fontId="7" fillId="3"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9" fillId="0" borderId="0" xfId="0" applyFont="1" applyAlignment="1">
      <alignment horizontal="left" vertical="top" wrapText="1"/>
    </xf>
    <xf numFmtId="0" fontId="10" fillId="2" borderId="0" xfId="0" applyFont="1" applyFill="1" applyAlignment="1">
      <alignment horizontal="left" vertical="center"/>
    </xf>
    <xf numFmtId="0" fontId="4" fillId="2" borderId="0" xfId="0" applyFont="1" applyFill="1"/>
    <xf numFmtId="0" fontId="11" fillId="0" borderId="0" xfId="0" applyFont="1"/>
    <xf numFmtId="0" fontId="12" fillId="0" borderId="0" xfId="0" applyFont="1"/>
    <xf numFmtId="0" fontId="13" fillId="0" borderId="2" xfId="0" applyFont="1" applyBorder="1"/>
    <xf numFmtId="0" fontId="14" fillId="2" borderId="0" xfId="0" applyFont="1" applyFill="1" applyAlignment="1">
      <alignment horizontal="left" vertical="center"/>
    </xf>
    <xf numFmtId="0" fontId="15" fillId="2" borderId="0" xfId="0" applyFont="1" applyFill="1" applyAlignment="1">
      <alignment horizontal="left" vertical="center"/>
    </xf>
    <xf numFmtId="0" fontId="11" fillId="0" borderId="0" xfId="0" applyFont="1" applyAlignment="1">
      <alignment horizontal="left" vertical="center"/>
    </xf>
    <xf numFmtId="0" fontId="16" fillId="3" borderId="1" xfId="0" applyFont="1" applyFill="1" applyBorder="1" applyAlignment="1">
      <alignment horizontal="center" vertical="center"/>
    </xf>
    <xf numFmtId="9" fontId="14" fillId="3" borderId="1" xfId="0" applyNumberFormat="1" applyFont="1" applyFill="1" applyBorder="1" applyAlignment="1">
      <alignment horizontal="center" vertical="center"/>
    </xf>
    <xf numFmtId="165" fontId="14" fillId="3" borderId="1" xfId="0" applyNumberFormat="1" applyFont="1" applyFill="1" applyBorder="1" applyAlignment="1">
      <alignment horizontal="center" vertical="center"/>
    </xf>
    <xf numFmtId="166" fontId="14" fillId="3" borderId="1" xfId="0" applyNumberFormat="1" applyFont="1" applyFill="1" applyBorder="1" applyAlignment="1">
      <alignment horizontal="center" vertical="center"/>
    </xf>
    <xf numFmtId="0" fontId="17" fillId="0" borderId="0" xfId="0" applyFont="1"/>
    <xf numFmtId="9" fontId="18" fillId="0" borderId="0" xfId="0" applyNumberFormat="1" applyFont="1"/>
    <xf numFmtId="0" fontId="19" fillId="0" borderId="0" xfId="0" applyFont="1"/>
    <xf numFmtId="0" fontId="19" fillId="0" borderId="0" xfId="0" applyFont="1" applyAlignment="1">
      <alignment horizontal="left" vertical="center" wrapText="1"/>
    </xf>
    <xf numFmtId="0" fontId="20" fillId="4" borderId="3" xfId="0" applyFont="1" applyFill="1" applyBorder="1" applyAlignment="1">
      <alignment horizontal="left" vertical="center" wrapText="1"/>
    </xf>
    <xf numFmtId="0" fontId="20" fillId="4" borderId="3" xfId="0" applyFont="1" applyFill="1" applyBorder="1" applyAlignment="1">
      <alignment horizontal="right" vertical="center" wrapText="1"/>
    </xf>
    <xf numFmtId="0" fontId="12" fillId="0" borderId="1" xfId="0" applyFont="1" applyBorder="1" applyAlignment="1">
      <alignment horizontal="left" vertical="center"/>
    </xf>
    <xf numFmtId="9" fontId="12" fillId="0" borderId="1" xfId="0" applyNumberFormat="1" applyFont="1" applyBorder="1" applyAlignment="1">
      <alignment horizontal="right" vertical="center"/>
    </xf>
    <xf numFmtId="167" fontId="21" fillId="0" borderId="1" xfId="0" applyNumberFormat="1" applyFont="1" applyBorder="1" applyAlignment="1">
      <alignment horizontal="right" vertical="center"/>
    </xf>
    <xf numFmtId="0" fontId="12" fillId="0" borderId="1" xfId="0" applyFont="1" applyBorder="1" applyAlignment="1">
      <alignment horizontal="right" vertical="center"/>
    </xf>
    <xf numFmtId="0" fontId="12" fillId="5" borderId="1" xfId="0" applyFont="1" applyFill="1" applyBorder="1" applyAlignment="1">
      <alignment horizontal="left" vertical="center"/>
    </xf>
    <xf numFmtId="164" fontId="12" fillId="5" borderId="1" xfId="0" applyNumberFormat="1" applyFont="1" applyFill="1" applyBorder="1" applyAlignment="1">
      <alignment horizontal="right" vertical="center"/>
    </xf>
    <xf numFmtId="0" fontId="12" fillId="5" borderId="1" xfId="0" applyFont="1" applyFill="1" applyBorder="1" applyAlignment="1">
      <alignment horizontal="right" vertical="center"/>
    </xf>
    <xf numFmtId="164" fontId="12" fillId="0" borderId="1" xfId="0" applyNumberFormat="1" applyFont="1" applyBorder="1" applyAlignment="1">
      <alignment horizontal="right" vertical="center"/>
    </xf>
    <xf numFmtId="168" fontId="21" fillId="6" borderId="1" xfId="0" applyNumberFormat="1" applyFont="1" applyFill="1" applyBorder="1" applyAlignment="1">
      <alignment horizontal="right" vertical="center"/>
    </xf>
    <xf numFmtId="169" fontId="12" fillId="0" borderId="1" xfId="0" applyNumberFormat="1" applyFont="1" applyBorder="1" applyAlignment="1">
      <alignment horizontal="right" vertical="center"/>
    </xf>
    <xf numFmtId="0" fontId="22" fillId="0" borderId="0" xfId="0" applyFont="1" applyAlignment="1">
      <alignment horizontal="left" vertical="center"/>
    </xf>
    <xf numFmtId="0" fontId="23" fillId="0" borderId="0" xfId="0" applyFont="1"/>
    <xf numFmtId="0" fontId="24" fillId="0" borderId="0" xfId="0" applyFont="1" applyAlignment="1">
      <alignment horizontal="left" vertical="center"/>
    </xf>
    <xf numFmtId="0" fontId="9" fillId="0" borderId="0" xfId="0" applyFont="1" applyAlignment="1">
      <alignment horizontal="left" vertical="center"/>
    </xf>
    <xf numFmtId="0" fontId="25" fillId="0" borderId="0" xfId="0" applyFont="1"/>
    <xf numFmtId="164" fontId="0" fillId="0" borderId="0" xfId="0" applyNumberFormat="1"/>
    <xf numFmtId="166" fontId="0" fillId="0" borderId="0" xfId="0" applyNumberFormat="1"/>
    <xf numFmtId="10" fontId="12" fillId="0" borderId="1" xfId="0" applyNumberFormat="1" applyFont="1" applyBorder="1" applyAlignment="1">
      <alignment horizontal="right" vertical="center"/>
    </xf>
    <xf numFmtId="9" fontId="12" fillId="5" borderId="1" xfId="0" applyNumberFormat="1" applyFont="1" applyFill="1" applyBorder="1" applyAlignment="1">
      <alignment horizontal="right" vertical="center"/>
    </xf>
    <xf numFmtId="10" fontId="12" fillId="5" borderId="1" xfId="0" applyNumberFormat="1" applyFont="1" applyFill="1" applyBorder="1" applyAlignment="1">
      <alignment horizontal="right" vertical="center"/>
    </xf>
    <xf numFmtId="0" fontId="26" fillId="0" borderId="1" xfId="0" applyFont="1" applyBorder="1" applyAlignment="1">
      <alignment horizontal="left" vertical="center"/>
    </xf>
    <xf numFmtId="0" fontId="26" fillId="5" borderId="1" xfId="0" applyFont="1" applyFill="1" applyBorder="1" applyAlignment="1">
      <alignment horizontal="left" vertical="center"/>
    </xf>
    <xf numFmtId="169" fontId="12" fillId="5" borderId="1" xfId="0" applyNumberFormat="1" applyFont="1" applyFill="1" applyBorder="1" applyAlignment="1">
      <alignment horizontal="right" vertical="center"/>
    </xf>
    <xf numFmtId="0" fontId="27" fillId="3" borderId="0" xfId="0" applyFont="1" applyFill="1" applyAlignment="1">
      <alignment horizontal="left" vertical="center"/>
    </xf>
    <xf numFmtId="0" fontId="28" fillId="3" borderId="0" xfId="0" applyFont="1" applyFill="1" applyAlignment="1">
      <alignment horizontal="left" vertical="center"/>
    </xf>
    <xf numFmtId="0" fontId="29" fillId="3" borderId="0" xfId="0" applyFont="1" applyFill="1" applyAlignment="1">
      <alignment horizontal="left" vertical="center"/>
    </xf>
    <xf numFmtId="0" fontId="30" fillId="0" borderId="0" xfId="0" applyFont="1" applyAlignment="1">
      <alignment horizontal="center" vertical="top"/>
    </xf>
    <xf numFmtId="0" fontId="0" fillId="0" borderId="0" xfId="0" applyAlignment="1">
      <alignment vertical="top" wrapText="1"/>
    </xf>
    <xf numFmtId="0" fontId="18" fillId="0" borderId="0" xfId="0" applyFont="1" applyAlignment="1">
      <alignment horizontal="center" vertical="top"/>
    </xf>
    <xf numFmtId="0" fontId="31" fillId="0" borderId="0" xfId="0" applyFont="1" applyAlignment="1">
      <alignment horizontal="center" vertical="top"/>
    </xf>
    <xf numFmtId="0" fontId="19" fillId="0" borderId="0" xfId="0" applyFont="1" applyAlignment="1">
      <alignment vertical="top" wrapText="1"/>
    </xf>
    <xf numFmtId="0" fontId="19" fillId="5" borderId="1" xfId="0" applyFont="1" applyFill="1" applyBorder="1" applyAlignment="1">
      <alignment horizontal="right" vertical="center"/>
    </xf>
    <xf numFmtId="0" fontId="19" fillId="0" borderId="1" xfId="0" applyFont="1" applyBorder="1" applyAlignment="1">
      <alignment horizontal="right" vertical="center"/>
    </xf>
    <xf numFmtId="164" fontId="29" fillId="0" borderId="0" xfId="0" applyNumberFormat="1" applyFont="1" applyAlignment="1">
      <alignment horizontal="right"/>
    </xf>
    <xf numFmtId="0" fontId="32" fillId="0" borderId="0" xfId="0" applyFont="1"/>
    <xf numFmtId="0" fontId="32" fillId="0" borderId="0" xfId="0" applyFont="1" applyAlignment="1">
      <alignment horizontal="right"/>
    </xf>
    <xf numFmtId="168" fontId="12" fillId="5" borderId="1" xfId="0" applyNumberFormat="1" applyFont="1" applyFill="1" applyBorder="1" applyAlignment="1">
      <alignment horizontal="right" vertical="center"/>
    </xf>
    <xf numFmtId="168" fontId="12" fillId="0" borderId="1" xfId="0" applyNumberFormat="1" applyFont="1" applyBorder="1" applyAlignment="1">
      <alignment horizontal="right" vertical="center"/>
    </xf>
    <xf numFmtId="0" fontId="33" fillId="7" borderId="0" xfId="0" applyFont="1" applyFill="1" applyAlignment="1">
      <alignment horizontal="left" vertical="center"/>
    </xf>
    <xf numFmtId="170" fontId="12" fillId="5" borderId="1" xfId="0" applyNumberFormat="1" applyFont="1" applyFill="1" applyBorder="1" applyAlignment="1">
      <alignment horizontal="right" vertical="center"/>
    </xf>
    <xf numFmtId="170" fontId="12" fillId="0" borderId="1" xfId="0" applyNumberFormat="1" applyFont="1" applyBorder="1" applyAlignment="1">
      <alignment horizontal="right" vertical="center"/>
    </xf>
    <xf numFmtId="0" fontId="34" fillId="5" borderId="1" xfId="0" applyFont="1" applyFill="1" applyBorder="1" applyAlignment="1">
      <alignment horizontal="left" vertical="center"/>
    </xf>
    <xf numFmtId="164" fontId="34" fillId="5" borderId="1" xfId="0" applyNumberFormat="1" applyFont="1" applyFill="1" applyBorder="1" applyAlignment="1">
      <alignment horizontal="right" vertical="center"/>
    </xf>
    <xf numFmtId="0" fontId="35" fillId="5" borderId="1" xfId="0" applyFont="1" applyFill="1" applyBorder="1" applyAlignment="1">
      <alignment horizontal="right" vertical="center"/>
    </xf>
    <xf numFmtId="0" fontId="34" fillId="0" borderId="1" xfId="0" applyFont="1" applyBorder="1" applyAlignment="1">
      <alignment horizontal="left" vertical="center"/>
    </xf>
    <xf numFmtId="164" fontId="34" fillId="0" borderId="1" xfId="0" applyNumberFormat="1" applyFont="1" applyBorder="1" applyAlignment="1">
      <alignment horizontal="right" vertical="center"/>
    </xf>
    <xf numFmtId="0" fontId="35" fillId="0" borderId="1" xfId="0" applyFont="1" applyBorder="1" applyAlignment="1">
      <alignment horizontal="right" vertical="center"/>
    </xf>
    <xf numFmtId="164" fontId="12" fillId="5" borderId="1" xfId="0" applyNumberFormat="1" applyFont="1" applyFill="1" applyBorder="1" applyAlignment="1">
      <alignment horizontal="left" vertical="center"/>
    </xf>
    <xf numFmtId="164" fontId="12" fillId="0" borderId="1" xfId="0" applyNumberFormat="1" applyFont="1" applyBorder="1" applyAlignment="1">
      <alignment horizontal="left" vertical="center"/>
    </xf>
    <xf numFmtId="168" fontId="36" fillId="0" borderId="1" xfId="0" applyNumberFormat="1" applyFont="1" applyBorder="1" applyAlignment="1">
      <alignment horizontal="right" vertical="center"/>
    </xf>
    <xf numFmtId="168" fontId="36" fillId="5" borderId="1" xfId="0" applyNumberFormat="1" applyFont="1" applyFill="1" applyBorder="1" applyAlignment="1">
      <alignment horizontal="right" vertical="center"/>
    </xf>
    <xf numFmtId="164" fontId="36" fillId="5" borderId="1" xfId="0" applyNumberFormat="1" applyFont="1" applyFill="1" applyBorder="1" applyAlignment="1">
      <alignment horizontal="right" vertical="center"/>
    </xf>
    <xf numFmtId="164" fontId="36" fillId="0" borderId="1" xfId="0" applyNumberFormat="1" applyFont="1" applyBorder="1" applyAlignment="1">
      <alignment horizontal="right" vertical="center"/>
    </xf>
    <xf numFmtId="171" fontId="12" fillId="5" borderId="1" xfId="0" applyNumberFormat="1" applyFont="1" applyFill="1" applyBorder="1" applyAlignment="1">
      <alignment horizontal="right" vertical="center"/>
    </xf>
    <xf numFmtId="0" fontId="9" fillId="0" borderId="0" xfId="0" applyFont="1" applyAlignment="1">
      <alignment wrapText="1"/>
    </xf>
    <xf numFmtId="164" fontId="26" fillId="0" borderId="1" xfId="0" applyNumberFormat="1" applyFont="1" applyBorder="1" applyAlignment="1">
      <alignment horizontal="right" vertical="center"/>
    </xf>
    <xf numFmtId="0" fontId="9" fillId="0" borderId="0" xfId="0" applyFont="1" applyAlignment="1">
      <alignment vertical="top" wrapText="1"/>
    </xf>
    <xf numFmtId="164" fontId="26" fillId="5" borderId="1" xfId="0" applyNumberFormat="1" applyFont="1" applyFill="1" applyBorder="1" applyAlignment="1">
      <alignment horizontal="right" vertical="center"/>
    </xf>
    <xf numFmtId="0" fontId="26" fillId="5" borderId="1" xfId="0" applyFont="1" applyFill="1" applyBorder="1" applyAlignment="1">
      <alignment horizontal="right" vertical="center"/>
    </xf>
    <xf numFmtId="0" fontId="21" fillId="0" borderId="1" xfId="0" applyFont="1" applyBorder="1" applyAlignment="1">
      <alignment horizontal="left" vertical="center"/>
    </xf>
    <xf numFmtId="164" fontId="21" fillId="0" borderId="1" xfId="0" applyNumberFormat="1" applyFont="1" applyBorder="1" applyAlignment="1">
      <alignment horizontal="right" vertical="center"/>
    </xf>
    <xf numFmtId="0" fontId="21" fillId="0" borderId="1" xfId="0" applyFont="1" applyBorder="1" applyAlignment="1">
      <alignment horizontal="right" vertical="center"/>
    </xf>
    <xf numFmtId="2" fontId="12" fillId="5" borderId="1" xfId="0" applyNumberFormat="1" applyFont="1" applyFill="1" applyBorder="1" applyAlignment="1">
      <alignment horizontal="right" vertical="center"/>
    </xf>
    <xf numFmtId="2" fontId="12"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Sommaire&apos;!A1" TargetMode="External"/><Relationship Id="rId2" Type="http://schemas.openxmlformats.org/officeDocument/2006/relationships/hyperlink" Target="#&apos;Profil&apos;!A1" TargetMode="External"/><Relationship Id="rId3" Type="http://schemas.openxmlformats.org/officeDocument/2006/relationships/hyperlink" Target="#&apos;Conjoint(e)&apos;!A1" TargetMode="External"/><Relationship Id="rId4" Type="http://schemas.openxmlformats.org/officeDocument/2006/relationships/hyperlink" Target="#&apos;Diagnostic&apos;!A1" TargetMode="External"/><Relationship Id="rId5" Type="http://schemas.openxmlformats.org/officeDocument/2006/relationships/hyperlink" Target="#&apos;Projection d&#233;terministe&apos;!A1" TargetMode="External"/><Relationship Id="rId6" Type="http://schemas.openxmlformats.org/officeDocument/2006/relationships/hyperlink" Target="#&apos;Flux de tr&#233;sorerie&apos;!A1" TargetMode="External"/><Relationship Id="rId7" Type="http://schemas.openxmlformats.org/officeDocument/2006/relationships/hyperlink" Target="#&apos;MC &#8212; Patrimoine&apos;!A1" TargetMode="External"/><Relationship Id="rId8" Type="http://schemas.openxmlformats.org/officeDocument/2006/relationships/hyperlink" Target="#&apos;Retraits d&#233;taill&#233;s&apos;!A1" TargetMode="External"/><Relationship Id="rId9" Type="http://schemas.openxmlformats.org/officeDocument/2006/relationships/hyperlink" Target="#&apos;Fiscalit&#233;&apos;!A1" TargetMode="External"/><Relationship Id="rId10" Type="http://schemas.openxmlformats.org/officeDocument/2006/relationships/hyperlink" Target="#&apos;Sensibilit&#233; &amp; Stress&apos;!A1" TargetMode="External"/><Relationship Id="rId11" Type="http://schemas.openxmlformats.org/officeDocument/2006/relationships/hyperlink" Target="#&apos;Succession&apos;!A1" TargetMode="External"/><Relationship Id="rId12" Type="http://schemas.openxmlformats.org/officeDocument/2006/relationships/hyperlink" Target="#&apos;Dettes&apos;!A1" TargetMode="External"/><Relationship Id="rId13" Type="http://schemas.openxmlformats.org/officeDocument/2006/relationships/hyperlink" Target="#&apos;Assurance&apos;!A1" TargetMode="External"/><Relationship Id="rId14" Type="http://schemas.openxmlformats.org/officeDocument/2006/relationships/hyperlink" Target="#&apos;Immobilier&apos;!A1" TargetMode="External"/><Relationship Id="rId15" Type="http://schemas.openxmlformats.org/officeDocument/2006/relationships/hyperlink" Target="#&apos;Entreprise (CCPC)&apos;!A1" TargetMode="External"/><Relationship Id="rId16" Type="http://schemas.openxmlformats.org/officeDocument/2006/relationships/hyperlink" Target="#&apos;M&#233;thodologie&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rofil&apos;!A1" TargetMode="External"/><Relationship Id="rId2" Type="http://schemas.openxmlformats.org/officeDocument/2006/relationships/hyperlink" Target="#&apos;Projection d&#233;terministe&apos;!A1" TargetMode="External"/><Relationship Id="rId3" Type="http://schemas.openxmlformats.org/officeDocument/2006/relationships/hyperlink" Target="#&apos;Flux de tr&#233;sorerie&apos;!A1" TargetMode="External"/><Relationship Id="rId4" Type="http://schemas.openxmlformats.org/officeDocument/2006/relationships/hyperlink" Target="#&apos;MC &#8212; Patrimoine&apos;!A1" TargetMode="External"/><Relationship Id="rId5" Type="http://schemas.openxmlformats.org/officeDocument/2006/relationships/hyperlink" Target="#&apos;Fiscalit&#233;&apos;!A1" TargetMode="External"/><Relationship Id="rId6" Type="http://schemas.openxmlformats.org/officeDocument/2006/relationships/hyperlink" Target="#&apos;Succession&apos;!A1" TargetMode="External"/><Relationship Id="rId7" Type="http://schemas.openxmlformats.org/officeDocument/2006/relationships/hyperlink" Target="#&apos;Diagnostic&apos;!A1" TargetMode="External"/><Relationship Id="rId8" Type="http://schemas.openxmlformats.org/officeDocument/2006/relationships/hyperlink" Target="#&apos;M&#233;thodologie&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pane ySplit="1" topLeftCell="A2" activePane="bottomLeft" state="frozen"/>
      <selection pane="bottomLeft"/>
    </sheetView>
  </sheetViews>
  <sheetFormatPr defaultRowHeight="15" outlineLevelRow="0" outlineLevelCol="0" x14ac:dyDescent="55"/>
  <cols>
    <col min="1" max="1" width="3" customWidth="1"/>
    <col min="2" max="9" width="18" customWidth="1"/>
    <col min="10" max="14" width="14" customWidth="1"/>
  </cols>
  <sheetData>
    <row r="1" ht="42" customHeight="1" spans="1:14" x14ac:dyDescent="0.25">
      <c r="A1" s="1"/>
      <c r="B1" s="2" t="s">
        <v>0</v>
      </c>
      <c r="C1" s="2"/>
      <c r="D1" s="2"/>
      <c r="E1" s="2"/>
      <c r="F1" s="2"/>
      <c r="G1" s="2"/>
      <c r="H1" s="2"/>
      <c r="I1" s="2"/>
      <c r="J1" s="2"/>
      <c r="K1" s="2"/>
      <c r="L1" s="2"/>
      <c r="M1" s="2"/>
      <c r="N1" s="2"/>
    </row>
    <row r="2" ht="20" customHeight="1" spans="1:14" x14ac:dyDescent="0.25">
      <c r="A2" s="1"/>
      <c r="B2" s="3" t="s">
        <v>1</v>
      </c>
      <c r="C2" s="3"/>
      <c r="D2" s="3"/>
      <c r="E2" s="3"/>
      <c r="F2" s="3"/>
      <c r="G2" s="3"/>
      <c r="H2" s="3"/>
      <c r="I2" s="3"/>
      <c r="J2" s="3"/>
      <c r="K2" s="3"/>
      <c r="L2" s="3"/>
      <c r="M2" s="3"/>
      <c r="N2" s="3"/>
    </row>
    <row r="3" ht="28" customHeight="1" spans="1:14" x14ac:dyDescent="0.25">
      <c r="A3" s="1"/>
      <c r="B3" s="4" t="s">
        <v>2</v>
      </c>
      <c r="C3" s="4"/>
      <c r="D3" s="4"/>
      <c r="E3" s="4"/>
      <c r="F3" s="4"/>
      <c r="G3" s="4"/>
      <c r="H3" s="4"/>
      <c r="I3" s="4"/>
      <c r="J3" s="4"/>
      <c r="K3" s="4"/>
      <c r="L3" s="4"/>
      <c r="M3" s="4"/>
      <c r="N3" s="4"/>
    </row>
    <row r="4" ht="18" customHeight="1" spans="1:14" x14ac:dyDescent="0.25">
      <c r="A4" s="1"/>
      <c r="B4" s="5" t="s">
        <v>3</v>
      </c>
      <c r="C4" s="5"/>
      <c r="D4" s="5"/>
      <c r="E4" s="5"/>
      <c r="F4" s="5"/>
      <c r="G4" s="5"/>
      <c r="H4" s="5"/>
      <c r="I4" s="5"/>
      <c r="J4" s="5"/>
      <c r="K4" s="5"/>
      <c r="L4" s="5"/>
      <c r="M4" s="5"/>
      <c r="N4" s="5"/>
    </row>
    <row r="5" ht="12" customHeight="1" spans="1:14" x14ac:dyDescent="0.25">
      <c r="A5" s="1"/>
      <c r="B5" s="1"/>
      <c r="C5" s="1"/>
      <c r="D5" s="1"/>
      <c r="E5" s="1"/>
      <c r="F5" s="1"/>
      <c r="G5" s="1"/>
      <c r="H5" s="1"/>
      <c r="I5" s="1"/>
      <c r="J5" s="1"/>
      <c r="K5" s="1"/>
      <c r="L5" s="1"/>
      <c r="M5" s="1"/>
      <c r="N5" s="1"/>
    </row>
    <row r="7" ht="18" customHeight="1" spans="2:13" x14ac:dyDescent="0.25">
      <c r="B7" s="6" t="s">
        <v>4</v>
      </c>
      <c r="C7" s="6"/>
      <c r="D7" s="6"/>
      <c r="E7" s="6" t="s">
        <v>5</v>
      </c>
      <c r="F7" s="6"/>
      <c r="G7" s="6"/>
      <c r="H7" s="6" t="s">
        <v>6</v>
      </c>
      <c r="I7" s="6"/>
      <c r="J7" s="6"/>
      <c r="K7" s="6" t="s">
        <v>7</v>
      </c>
      <c r="L7" s="6"/>
      <c r="M7" s="6"/>
    </row>
    <row r="8" ht="48" customHeight="1" spans="2:13" x14ac:dyDescent="0.25">
      <c r="B8" s="7">
        <v>0.8995</v>
      </c>
      <c r="C8" s="7"/>
      <c r="D8" s="7"/>
      <c r="E8" s="8">
        <v>985943.927743378</v>
      </c>
      <c r="F8" s="8"/>
      <c r="G8" s="8"/>
      <c r="H8" s="9" t="s">
        <v>8</v>
      </c>
      <c r="I8" s="9"/>
      <c r="J8" s="9"/>
      <c r="K8" s="8">
        <v>0</v>
      </c>
      <c r="L8" s="8"/>
      <c r="M8" s="8"/>
    </row>
    <row r="9" ht="8" customHeight="1" spans="2:13" x14ac:dyDescent="0.25">
      <c r="B9" s="7"/>
      <c r="C9" s="7"/>
      <c r="D9" s="7"/>
      <c r="E9" s="8"/>
      <c r="F9" s="8"/>
      <c r="G9" s="8"/>
      <c r="H9" s="9"/>
      <c r="I9" s="9"/>
      <c r="J9" s="9"/>
      <c r="K9" s="8"/>
      <c r="L9" s="8"/>
      <c r="M9" s="8"/>
    </row>
    <row r="11" spans="2:14" x14ac:dyDescent="0.25">
      <c r="B11" s="10" t="s">
        <v>9</v>
      </c>
      <c r="C11" s="10"/>
      <c r="D11" s="10"/>
      <c r="E11" s="10"/>
      <c r="F11" s="10"/>
      <c r="G11" s="10"/>
      <c r="H11" s="10"/>
      <c r="I11" s="10"/>
      <c r="J11" s="10"/>
      <c r="K11" s="10"/>
      <c r="L11" s="10"/>
      <c r="M11" s="10"/>
      <c r="N11" s="10"/>
    </row>
    <row r="12" spans="2:14" x14ac:dyDescent="0.25">
      <c r="B12" s="10"/>
      <c r="C12" s="10"/>
      <c r="D12" s="10"/>
      <c r="E12" s="10"/>
      <c r="F12" s="10"/>
      <c r="G12" s="10"/>
      <c r="H12" s="10"/>
      <c r="I12" s="10"/>
      <c r="J12" s="10"/>
      <c r="K12" s="10"/>
      <c r="L12" s="10"/>
      <c r="M12" s="10"/>
      <c r="N12" s="10"/>
    </row>
  </sheetData>
  <mergeCells count="13">
    <mergeCell ref="B1:N1"/>
    <mergeCell ref="B2:N2"/>
    <mergeCell ref="B3:N3"/>
    <mergeCell ref="B4:N4"/>
    <mergeCell ref="B7:D7"/>
    <mergeCell ref="E7:G7"/>
    <mergeCell ref="H7:J7"/>
    <mergeCell ref="K7:M7"/>
    <mergeCell ref="B8:D9"/>
    <mergeCell ref="E8:G9"/>
    <mergeCell ref="H8:J9"/>
    <mergeCell ref="K8:M9"/>
    <mergeCell ref="B11:N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workbookViewId="0">
      <pane ySplit="4" topLeftCell="A5" activePane="bottomLeft" state="frozen"/>
      <selection pane="bottomLeft"/>
    </sheetView>
  </sheetViews>
  <sheetFormatPr defaultRowHeight="15" outlineLevelRow="0" outlineLevelCol="0" x14ac:dyDescent="55"/>
  <cols>
    <col min="1" max="1" width="3" customWidth="1"/>
    <col min="2" max="2" width="26" customWidth="1"/>
    <col min="3" max="3" width="86" customWidth="1"/>
    <col min="4" max="14" width="14" customWidth="1"/>
  </cols>
  <sheetData>
    <row r="1" ht="8" customHeight="1" spans="1:14" x14ac:dyDescent="0.25">
      <c r="A1" s="1"/>
      <c r="B1" s="1"/>
      <c r="C1" s="1"/>
      <c r="D1" s="1"/>
      <c r="E1" s="1"/>
      <c r="F1" s="1"/>
      <c r="G1" s="1"/>
      <c r="H1" s="1"/>
      <c r="I1" s="1"/>
      <c r="J1" s="1"/>
      <c r="K1" s="1"/>
      <c r="L1" s="1"/>
      <c r="M1" s="1"/>
      <c r="N1" s="1"/>
    </row>
    <row r="2" ht="34" customHeight="1" spans="1:14" x14ac:dyDescent="0.25">
      <c r="A2" s="1"/>
      <c r="B2" s="11" t="s">
        <v>10</v>
      </c>
      <c r="C2" s="11"/>
      <c r="D2" s="11"/>
      <c r="E2" s="11"/>
      <c r="F2" s="11"/>
      <c r="G2" s="11"/>
      <c r="H2" s="11"/>
      <c r="I2" s="11"/>
      <c r="J2" s="11"/>
      <c r="K2" s="11"/>
      <c r="L2" s="11"/>
      <c r="M2" s="11"/>
      <c r="N2" s="11"/>
    </row>
    <row r="3" ht="18" customHeight="1" spans="1:14" x14ac:dyDescent="0.25">
      <c r="A3" s="1"/>
      <c r="B3" s="12" t="s">
        <v>11</v>
      </c>
      <c r="C3" s="12"/>
      <c r="D3" s="12"/>
      <c r="E3" s="12"/>
      <c r="F3" s="12"/>
      <c r="G3" s="12"/>
      <c r="H3" s="12"/>
      <c r="I3" s="12"/>
      <c r="J3" s="12"/>
      <c r="K3" s="12"/>
      <c r="L3" s="12"/>
      <c r="M3" s="12"/>
      <c r="N3" s="12"/>
    </row>
    <row r="5" spans="2:2" x14ac:dyDescent="0.25">
      <c r="B5" s="13" t="s">
        <v>12</v>
      </c>
    </row>
    <row r="6" ht="19" customHeight="1" spans="2:14" x14ac:dyDescent="0.25">
      <c r="B6" s="14" t="s">
        <v>13</v>
      </c>
      <c r="C6" s="14"/>
      <c r="D6" s="14"/>
      <c r="E6" s="14"/>
      <c r="F6" s="14"/>
      <c r="G6" s="14"/>
      <c r="H6" s="14"/>
      <c r="I6" s="14"/>
      <c r="J6" s="14"/>
      <c r="K6" s="14"/>
      <c r="L6" s="14"/>
      <c r="M6" s="14"/>
      <c r="N6" s="14"/>
    </row>
    <row r="7" ht="19" customHeight="1" spans="2:14" x14ac:dyDescent="0.25">
      <c r="B7" s="14" t="s">
        <v>14</v>
      </c>
      <c r="C7" s="14"/>
      <c r="D7" s="14"/>
      <c r="E7" s="14"/>
      <c r="F7" s="14"/>
      <c r="G7" s="14"/>
      <c r="H7" s="14"/>
      <c r="I7" s="14"/>
      <c r="J7" s="14"/>
      <c r="K7" s="14"/>
      <c r="L7" s="14"/>
      <c r="M7" s="14"/>
      <c r="N7" s="14"/>
    </row>
    <row r="8" ht="19" customHeight="1" spans="2:14" x14ac:dyDescent="0.25">
      <c r="B8" s="14" t="s">
        <v>15</v>
      </c>
      <c r="C8" s="14"/>
      <c r="D8" s="14"/>
      <c r="E8" s="14"/>
      <c r="F8" s="14"/>
      <c r="G8" s="14"/>
      <c r="H8" s="14"/>
      <c r="I8" s="14"/>
      <c r="J8" s="14"/>
      <c r="K8" s="14"/>
      <c r="L8" s="14"/>
      <c r="M8" s="14"/>
      <c r="N8" s="14"/>
    </row>
    <row r="9" ht="19" customHeight="1" spans="2:14" x14ac:dyDescent="0.25">
      <c r="B9" s="14" t="s">
        <v>16</v>
      </c>
      <c r="C9" s="14"/>
      <c r="D9" s="14"/>
      <c r="E9" s="14"/>
      <c r="F9" s="14"/>
      <c r="G9" s="14"/>
      <c r="H9" s="14"/>
      <c r="I9" s="14"/>
      <c r="J9" s="14"/>
      <c r="K9" s="14"/>
      <c r="L9" s="14"/>
      <c r="M9" s="14"/>
      <c r="N9" s="14"/>
    </row>
    <row r="10" ht="19" customHeight="1" spans="2:14" x14ac:dyDescent="0.25">
      <c r="B10" s="14" t="s">
        <v>17</v>
      </c>
      <c r="C10" s="14"/>
      <c r="D10" s="14"/>
      <c r="E10" s="14"/>
      <c r="F10" s="14"/>
      <c r="G10" s="14"/>
      <c r="H10" s="14"/>
      <c r="I10" s="14"/>
      <c r="J10" s="14"/>
      <c r="K10" s="14"/>
      <c r="L10" s="14"/>
      <c r="M10" s="14"/>
      <c r="N10" s="14"/>
    </row>
    <row r="13" spans="2:2" x14ac:dyDescent="0.25">
      <c r="B13" s="13" t="s">
        <v>18</v>
      </c>
    </row>
    <row r="14" ht="19" customHeight="1" spans="2:2" x14ac:dyDescent="0.25">
      <c r="B14" s="15" t="s">
        <v>19</v>
      </c>
    </row>
    <row r="15" ht="19" customHeight="1" spans="2:2" x14ac:dyDescent="0.25">
      <c r="B15" s="15" t="s">
        <v>20</v>
      </c>
    </row>
    <row r="16" ht="19" customHeight="1" spans="2:2" x14ac:dyDescent="0.25">
      <c r="B16" s="15" t="s">
        <v>21</v>
      </c>
    </row>
    <row r="17" ht="19" customHeight="1" spans="2:2" x14ac:dyDescent="0.25">
      <c r="B17" s="15" t="s">
        <v>22</v>
      </c>
    </row>
    <row r="18" ht="19" customHeight="1" spans="2:2" x14ac:dyDescent="0.25">
      <c r="B18" s="15" t="s">
        <v>23</v>
      </c>
    </row>
    <row r="19" ht="19" customHeight="1" spans="2:2" x14ac:dyDescent="0.25">
      <c r="B19" s="15" t="s">
        <v>24</v>
      </c>
    </row>
    <row r="20" ht="19" customHeight="1" spans="2:2" x14ac:dyDescent="0.25">
      <c r="B20" s="15" t="s">
        <v>25</v>
      </c>
    </row>
    <row r="21" ht="19" customHeight="1" spans="2:2" x14ac:dyDescent="0.25">
      <c r="B21" s="15" t="s">
        <v>26</v>
      </c>
    </row>
    <row r="22" ht="19" customHeight="1" spans="2:2" x14ac:dyDescent="0.25">
      <c r="B22" s="15" t="s">
        <v>27</v>
      </c>
    </row>
    <row r="23" ht="19" customHeight="1" spans="2:2" x14ac:dyDescent="0.25">
      <c r="B23" s="15" t="s">
        <v>28</v>
      </c>
    </row>
    <row r="24" ht="19" customHeight="1" spans="2:2" x14ac:dyDescent="0.25">
      <c r="B24" s="15" t="s">
        <v>29</v>
      </c>
    </row>
    <row r="25" ht="19" customHeight="1" spans="2:2" x14ac:dyDescent="0.25">
      <c r="B25" s="15" t="s">
        <v>30</v>
      </c>
    </row>
    <row r="26" ht="19" customHeight="1" spans="2:2" x14ac:dyDescent="0.25">
      <c r="B26" s="15" t="s">
        <v>31</v>
      </c>
    </row>
    <row r="27" ht="19" customHeight="1" spans="2:2" x14ac:dyDescent="0.25">
      <c r="B27" s="15" t="s">
        <v>32</v>
      </c>
    </row>
    <row r="28" ht="19" customHeight="1" spans="2:2" x14ac:dyDescent="0.25">
      <c r="B28" s="15" t="s">
        <v>33</v>
      </c>
    </row>
    <row r="29" ht="19" customHeight="1" spans="2:2" x14ac:dyDescent="0.25">
      <c r="B29" s="15" t="s">
        <v>34</v>
      </c>
    </row>
  </sheetData>
  <mergeCells count="7">
    <mergeCell ref="B2:N2"/>
    <mergeCell ref="B3:N3"/>
    <mergeCell ref="B6:N6"/>
    <mergeCell ref="B7:N7"/>
    <mergeCell ref="B8:N8"/>
    <mergeCell ref="B9:N9"/>
    <mergeCell ref="B10:N10"/>
  </mergeCells>
  <hyperlinks>
    <hyperlink ref="B14" r:id="rId1" location="#'Sommaire'!A1"/>
    <hyperlink ref="B15" r:id="rId2" location="#'Profil'!A1"/>
    <hyperlink ref="B16" r:id="rId3" location="#'Conjoint(e)'!A1"/>
    <hyperlink ref="B17" r:id="rId4" location="#'Diagnostic'!A1"/>
    <hyperlink ref="B18" r:id="rId5" location="#'Projection déterministe'!A1"/>
    <hyperlink ref="B19" r:id="rId6" location="#'Flux de trésorerie'!A1"/>
    <hyperlink ref="B20" r:id="rId7" location="#'MC — Patrimoine'!A1"/>
    <hyperlink ref="B21" r:id="rId8" location="#'Retraits détaillés'!A1"/>
    <hyperlink ref="B22" r:id="rId9" location="#'Fiscalité'!A1"/>
    <hyperlink ref="B23" r:id="rId10" location="#'Sensibilité &amp; Stress'!A1"/>
    <hyperlink ref="B24" r:id="rId11" location="#'Succession'!A1"/>
    <hyperlink ref="B25" r:id="rId12" location="#'Dettes'!A1"/>
    <hyperlink ref="B26" r:id="rId13" location="#'Assurance'!A1"/>
    <hyperlink ref="B27" r:id="rId14" location="#'Immobilier'!A1"/>
    <hyperlink ref="B28" r:id="rId15" location="#'Entreprise (CCPC)'!A1"/>
    <hyperlink ref="B29" r:id="rId16" location="#'Méthodologie'!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0"/>
  <sheetViews>
    <sheetView workbookViewId="0">
      <pane ySplit="5" topLeftCell="A6" activePane="bottomLeft" state="frozen"/>
      <selection pane="bottomLeft"/>
    </sheetView>
  </sheetViews>
  <sheetFormatPr defaultRowHeight="15" outlineLevelRow="0" outlineLevelCol="0" x14ac:dyDescent="55"/>
  <cols>
    <col min="1" max="1" width="3" customWidth="1"/>
    <col min="2" max="2" width="18" customWidth="1"/>
    <col min="3" max="14" width="14" customWidth="1"/>
  </cols>
  <sheetData>
    <row r="1" ht="34" customHeight="1" spans="1:14" x14ac:dyDescent="0.25">
      <c r="A1" s="1"/>
      <c r="B1" s="16" t="s">
        <v>0</v>
      </c>
      <c r="C1" s="16"/>
      <c r="D1" s="16"/>
      <c r="E1" s="16"/>
      <c r="F1" s="16"/>
      <c r="G1" s="16"/>
      <c r="H1" s="16"/>
      <c r="I1" s="16"/>
      <c r="J1" s="16"/>
      <c r="K1" s="16"/>
      <c r="L1" s="16"/>
      <c r="M1" s="16"/>
      <c r="N1" s="16"/>
    </row>
    <row r="2" ht="20" customHeight="1" spans="1:14" x14ac:dyDescent="0.25">
      <c r="A2" s="1"/>
      <c r="B2" s="3" t="s">
        <v>35</v>
      </c>
      <c r="C2" s="3"/>
      <c r="D2" s="3"/>
      <c r="E2" s="3"/>
      <c r="F2" s="3"/>
      <c r="G2" s="3"/>
      <c r="H2" s="3"/>
      <c r="I2" s="3"/>
      <c r="J2" s="3"/>
      <c r="K2" s="3"/>
      <c r="L2" s="3"/>
      <c r="M2" s="3"/>
      <c r="N2" s="3"/>
    </row>
    <row r="3" ht="24" customHeight="1" spans="1:14" x14ac:dyDescent="0.25">
      <c r="A3" s="1"/>
      <c r="B3" s="17" t="s">
        <v>36</v>
      </c>
      <c r="C3" s="17"/>
      <c r="D3" s="17"/>
      <c r="E3" s="17"/>
      <c r="F3" s="17"/>
      <c r="G3" s="17"/>
      <c r="H3" s="17"/>
      <c r="I3" s="17"/>
      <c r="J3" s="17"/>
      <c r="K3" s="17"/>
      <c r="L3" s="17"/>
      <c r="M3" s="17"/>
      <c r="N3" s="17"/>
    </row>
    <row r="4" ht="18" customHeight="1" spans="1:14" x14ac:dyDescent="0.25">
      <c r="A4" s="1"/>
      <c r="B4" s="5" t="s">
        <v>11</v>
      </c>
      <c r="C4" s="5"/>
      <c r="D4" s="5"/>
      <c r="E4" s="5"/>
      <c r="F4" s="5"/>
      <c r="G4" s="5"/>
      <c r="H4" s="5"/>
      <c r="I4" s="5"/>
      <c r="J4" s="5"/>
      <c r="K4" s="5"/>
      <c r="L4" s="5"/>
      <c r="M4" s="5"/>
      <c r="N4" s="5"/>
    </row>
    <row r="5" ht="12" customHeight="1" spans="1:14" x14ac:dyDescent="0.25">
      <c r="A5" s="1"/>
      <c r="B5" s="1"/>
      <c r="C5" s="1"/>
      <c r="D5" s="1"/>
      <c r="E5" s="1"/>
      <c r="F5" s="1"/>
      <c r="G5" s="1"/>
      <c r="H5" s="1"/>
      <c r="I5" s="1"/>
      <c r="J5" s="1"/>
      <c r="K5" s="1"/>
      <c r="L5" s="1"/>
      <c r="M5" s="1"/>
      <c r="N5" s="1"/>
    </row>
    <row r="7" ht="24" customHeight="1" spans="2:14" x14ac:dyDescent="0.25">
      <c r="B7" s="18" t="s">
        <v>37</v>
      </c>
      <c r="C7" s="18"/>
      <c r="D7" s="18"/>
      <c r="E7" s="18"/>
      <c r="F7" s="18"/>
      <c r="G7" s="18"/>
      <c r="H7" s="18"/>
      <c r="I7" s="18"/>
      <c r="J7" s="18"/>
      <c r="K7" s="18"/>
      <c r="L7" s="18"/>
      <c r="M7" s="18"/>
      <c r="N7" s="18"/>
    </row>
    <row r="8" ht="48" customHeight="1" spans="2:13" x14ac:dyDescent="0.25">
      <c r="B8" s="19" t="s">
        <v>8</v>
      </c>
      <c r="C8" s="19"/>
      <c r="D8" s="20">
        <v>0.8995</v>
      </c>
      <c r="E8" s="20"/>
      <c r="F8" s="21">
        <v>986</v>
      </c>
      <c r="G8" s="21"/>
      <c r="H8" s="22">
        <v>5306</v>
      </c>
      <c r="I8" s="22"/>
      <c r="J8" s="20">
        <v>0.3803152096136961</v>
      </c>
      <c r="K8" s="20"/>
      <c r="L8" s="21">
        <v>0</v>
      </c>
      <c r="M8" s="21"/>
    </row>
    <row r="9" ht="18" customHeight="1" spans="2:13" x14ac:dyDescent="0.25">
      <c r="B9" s="6" t="s">
        <v>6</v>
      </c>
      <c r="C9" s="6"/>
      <c r="D9" s="6" t="s">
        <v>38</v>
      </c>
      <c r="E9" s="6"/>
      <c r="F9" s="6" t="s">
        <v>39</v>
      </c>
      <c r="G9" s="6"/>
      <c r="H9" s="6" t="s">
        <v>40</v>
      </c>
      <c r="I9" s="6"/>
      <c r="J9" s="6" t="s">
        <v>41</v>
      </c>
      <c r="K9" s="6"/>
      <c r="L9" s="6" t="s">
        <v>7</v>
      </c>
      <c r="M9" s="6"/>
    </row>
    <row r="10" ht="14" customHeight="1" spans="2:8" x14ac:dyDescent="0.25">
      <c r="B10" s="23" t="s">
        <v>42</v>
      </c>
      <c r="C10" s="23"/>
      <c r="D10" s="23"/>
      <c r="E10" s="23"/>
      <c r="F10" s="24">
        <v>0</v>
      </c>
      <c r="G10" s="24"/>
      <c r="H10" s="24"/>
    </row>
    <row r="11" spans="2:14" x14ac:dyDescent="0.25">
      <c r="B11" s="25" t="s">
        <v>43</v>
      </c>
      <c r="C11" s="25"/>
      <c r="D11" s="25"/>
      <c r="E11" s="25"/>
      <c r="F11" s="25"/>
      <c r="G11" s="25"/>
      <c r="H11" s="25"/>
      <c r="I11" s="25"/>
      <c r="J11" s="25"/>
      <c r="K11" s="25"/>
      <c r="L11" s="25"/>
      <c r="M11" s="25"/>
      <c r="N11" s="25"/>
    </row>
    <row r="13" ht="24" customHeight="1" spans="2:14" x14ac:dyDescent="0.25">
      <c r="B13" s="18" t="s">
        <v>44</v>
      </c>
      <c r="C13" s="18"/>
      <c r="D13" s="18"/>
      <c r="E13" s="18"/>
      <c r="F13" s="18"/>
      <c r="G13" s="18"/>
      <c r="H13" s="18"/>
      <c r="I13" s="18"/>
      <c r="J13" s="18"/>
      <c r="K13" s="18"/>
      <c r="L13" s="18"/>
      <c r="M13" s="18"/>
      <c r="N13" s="18"/>
    </row>
    <row r="14" ht="16" customHeight="1" spans="2:14" x14ac:dyDescent="0.25">
      <c r="B14" s="26" t="s">
        <v>45</v>
      </c>
      <c r="C14" s="26"/>
      <c r="D14" s="26"/>
      <c r="E14" s="26"/>
      <c r="F14" s="26"/>
      <c r="G14" s="26"/>
      <c r="H14" s="26"/>
      <c r="I14" s="26"/>
      <c r="J14" s="26"/>
      <c r="K14" s="26"/>
      <c r="L14" s="26"/>
      <c r="M14" s="26"/>
      <c r="N14" s="26"/>
    </row>
    <row r="16" ht="30" customHeight="1" spans="2:6" x14ac:dyDescent="0.25">
      <c r="B16" s="27" t="s">
        <v>46</v>
      </c>
      <c r="C16" s="28" t="s">
        <v>47</v>
      </c>
      <c r="D16" s="28" t="s">
        <v>48</v>
      </c>
      <c r="E16" s="28" t="s">
        <v>49</v>
      </c>
      <c r="F16" s="28" t="s">
        <v>50</v>
      </c>
    </row>
    <row r="17" ht="19" customHeight="1" spans="2:6" x14ac:dyDescent="0.25">
      <c r="B17" s="29" t="s">
        <v>38</v>
      </c>
      <c r="C17" s="30">
        <v>0.8995</v>
      </c>
      <c r="D17" s="30">
        <v>0.903</v>
      </c>
      <c r="E17" s="31">
        <f>(C17-D17)*100</f>
        <v>-0.35000000000000586</v>
      </c>
      <c r="F17" s="32" t="s">
        <v>51</v>
      </c>
    </row>
    <row r="18" ht="19" customHeight="1" spans="2:6" x14ac:dyDescent="0.25">
      <c r="B18" s="33" t="s">
        <v>52</v>
      </c>
      <c r="C18" s="34">
        <v>1918601.0271193194</v>
      </c>
      <c r="D18" s="34">
        <v>1882044.255162345</v>
      </c>
      <c r="E18" s="34">
        <f>C18-D18</f>
        <v>0</v>
      </c>
      <c r="F18" s="35"/>
    </row>
    <row r="19" ht="19" customHeight="1" spans="2:6" x14ac:dyDescent="0.25">
      <c r="B19" s="29" t="s">
        <v>53</v>
      </c>
      <c r="C19" s="36">
        <v>1495119</v>
      </c>
      <c r="D19" s="36">
        <v>1466631</v>
      </c>
      <c r="E19" s="32"/>
      <c r="F19" s="32" t="s">
        <v>54</v>
      </c>
    </row>
    <row r="20" ht="19" customHeight="1" spans="2:6" x14ac:dyDescent="0.25">
      <c r="B20" s="33" t="s">
        <v>5</v>
      </c>
      <c r="C20" s="34">
        <v>985943.927743378</v>
      </c>
      <c r="D20" s="34">
        <v>995473.6828997441</v>
      </c>
      <c r="E20" s="37">
        <v>-9529.755156366155</v>
      </c>
      <c r="F20" s="35"/>
    </row>
    <row r="21" ht="19" customHeight="1" spans="2:6" x14ac:dyDescent="0.25">
      <c r="B21" s="29" t="s">
        <v>55</v>
      </c>
      <c r="C21" s="36">
        <v>1665093.286147499</v>
      </c>
      <c r="D21" s="36">
        <v>1684016.873670858</v>
      </c>
      <c r="E21" s="32"/>
      <c r="F21" s="32"/>
    </row>
    <row r="22" ht="19" customHeight="1" spans="2:6" x14ac:dyDescent="0.25">
      <c r="B22" s="33" t="s">
        <v>56</v>
      </c>
      <c r="C22" s="35">
        <v>32</v>
      </c>
      <c r="D22" s="35">
        <v>32</v>
      </c>
      <c r="E22" s="35"/>
      <c r="F22" s="35"/>
    </row>
    <row r="23" ht="19" customHeight="1" spans="2:6" x14ac:dyDescent="0.25">
      <c r="B23" s="29" t="s">
        <v>57</v>
      </c>
      <c r="C23" s="38">
        <v>0.3146725570271117</v>
      </c>
      <c r="D23" s="38">
        <v>0.3116529319792363</v>
      </c>
      <c r="E23" s="32"/>
      <c r="F23" s="32"/>
    </row>
    <row r="25" ht="24" customHeight="1" spans="2:14" x14ac:dyDescent="0.25">
      <c r="B25" s="18" t="s">
        <v>58</v>
      </c>
      <c r="C25" s="18"/>
      <c r="D25" s="18"/>
      <c r="E25" s="18"/>
      <c r="F25" s="18"/>
      <c r="G25" s="18"/>
      <c r="H25" s="18"/>
      <c r="I25" s="18"/>
      <c r="J25" s="18"/>
      <c r="K25" s="18"/>
      <c r="L25" s="18"/>
      <c r="M25" s="18"/>
      <c r="N25" s="18"/>
    </row>
    <row r="27" spans="2:13" x14ac:dyDescent="0.25">
      <c r="B27" s="39" t="s">
        <v>59</v>
      </c>
      <c r="C27" s="39"/>
      <c r="D27" s="39"/>
      <c r="E27" s="39" t="s">
        <v>60</v>
      </c>
      <c r="F27" s="39"/>
      <c r="G27" s="39"/>
      <c r="H27" s="39" t="s">
        <v>61</v>
      </c>
      <c r="I27" s="39"/>
      <c r="J27" s="39"/>
      <c r="K27" s="39" t="s">
        <v>62</v>
      </c>
      <c r="L27" s="39"/>
      <c r="M27" s="39"/>
    </row>
    <row r="28" spans="2:13" x14ac:dyDescent="0.25">
      <c r="B28" s="39" t="s">
        <v>63</v>
      </c>
      <c r="C28" s="39"/>
      <c r="D28" s="39"/>
      <c r="E28" s="39" t="s">
        <v>64</v>
      </c>
      <c r="F28" s="39"/>
      <c r="G28" s="39"/>
      <c r="H28" s="39" t="s">
        <v>65</v>
      </c>
      <c r="I28" s="39"/>
      <c r="J28" s="39"/>
      <c r="K28" s="39" t="s">
        <v>66</v>
      </c>
      <c r="L28" s="39"/>
      <c r="M28" s="39"/>
    </row>
    <row r="30" spans="2:14" x14ac:dyDescent="0.25">
      <c r="B30" s="40" t="s">
        <v>67</v>
      </c>
      <c r="C30" s="40"/>
      <c r="D30" s="40"/>
      <c r="E30" s="40"/>
      <c r="F30" s="40"/>
      <c r="G30" s="40"/>
      <c r="H30" s="40"/>
      <c r="I30" s="40"/>
      <c r="J30" s="40"/>
      <c r="K30" s="40"/>
      <c r="L30" s="40"/>
      <c r="M30" s="40"/>
      <c r="N30" s="40"/>
    </row>
  </sheetData>
  <autoFilter ref="B16:F16"/>
  <mergeCells count="32">
    <mergeCell ref="B1:N1"/>
    <mergeCell ref="B2:N2"/>
    <mergeCell ref="B3:N3"/>
    <mergeCell ref="B4:N4"/>
    <mergeCell ref="B7:N7"/>
    <mergeCell ref="B8:C8"/>
    <mergeCell ref="D8:E8"/>
    <mergeCell ref="F8:G8"/>
    <mergeCell ref="H8:I8"/>
    <mergeCell ref="J8:K8"/>
    <mergeCell ref="L8:M8"/>
    <mergeCell ref="B9:C9"/>
    <mergeCell ref="D9:E9"/>
    <mergeCell ref="F9:G9"/>
    <mergeCell ref="H9:I9"/>
    <mergeCell ref="J9:K9"/>
    <mergeCell ref="L9:M9"/>
    <mergeCell ref="B10:E10"/>
    <mergeCell ref="F10:H10"/>
    <mergeCell ref="B11:N11"/>
    <mergeCell ref="B13:N13"/>
    <mergeCell ref="B14:N14"/>
    <mergeCell ref="B25:N25"/>
    <mergeCell ref="B27:D27"/>
    <mergeCell ref="E27:G27"/>
    <mergeCell ref="H27:J27"/>
    <mergeCell ref="K27:M27"/>
    <mergeCell ref="B28:D28"/>
    <mergeCell ref="E28:G28"/>
    <mergeCell ref="H28:J28"/>
    <mergeCell ref="K28:M28"/>
    <mergeCell ref="B30:N30"/>
  </mergeCells>
  <hyperlinks>
    <hyperlink ref="B27" r:id="rId1" location="#'Profil'!A1"/>
    <hyperlink ref="E27" r:id="rId2" location="#'Projection déterministe'!A1"/>
    <hyperlink ref="H27" r:id="rId3" location="#'Flux de trésorerie'!A1"/>
    <hyperlink ref="K27" r:id="rId4" location="#'MC — Patrimoine'!A1"/>
    <hyperlink ref="B28" r:id="rId5" location="#'Fiscalité'!A1"/>
    <hyperlink ref="E28" r:id="rId6" location="#'Succession'!A1"/>
    <hyperlink ref="H28" r:id="rId7" location="#'Diagnostic'!A1"/>
    <hyperlink ref="K28" r:id="rId8" location="#'Méthodologie'!A1"/>
  </hyperlinks>
  <pageSetup paperSize="9" orientation="landscape" fitToWidth="1" fitToHeight="0"/>
  <headerFooter>
    <oddFooter>&amp;L&amp;8BuildFi Technologies inc.&amp;C&amp;8Page &amp;P / &amp;N&amp;R&amp;8&amp;D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34"/>
  <sheetViews>
    <sheetView workbookViewId="0">
      <pane ySplit="25" topLeftCell="A26" activePane="bottomLeft" state="frozen"/>
      <selection pane="bottomLeft"/>
    </sheetView>
  </sheetViews>
  <sheetFormatPr defaultRowHeight="15" outlineLevelRow="0" outlineLevelCol="0" x14ac:dyDescent="55"/>
  <cols>
    <col min="1" max="1" width="3" customWidth="1"/>
    <col min="2" max="2" width="24" customWidth="1"/>
    <col min="3" max="4" width="18" customWidth="1"/>
    <col min="5" max="9" width="16" customWidth="1"/>
    <col min="10" max="14" width="14" customWidth="1"/>
  </cols>
  <sheetData>
    <row r="1" ht="8" customHeight="1" x14ac:dyDescent="0.25"/>
    <row r="2" ht="28" customHeight="1" spans="2:14" x14ac:dyDescent="0.25">
      <c r="B2" s="41" t="s">
        <v>68</v>
      </c>
      <c r="C2" s="41"/>
      <c r="D2" s="41"/>
      <c r="E2" s="41"/>
      <c r="F2" s="41"/>
      <c r="G2" s="41"/>
      <c r="H2" s="41"/>
      <c r="I2" s="41"/>
      <c r="J2" s="41"/>
      <c r="K2" s="41"/>
      <c r="L2" s="41"/>
      <c r="M2" s="41"/>
      <c r="N2" s="41"/>
    </row>
    <row r="3" ht="16" customHeight="1" spans="2:14" x14ac:dyDescent="0.25">
      <c r="B3" s="42" t="s">
        <v>69</v>
      </c>
      <c r="C3" s="42"/>
      <c r="D3" s="42"/>
      <c r="E3" s="42"/>
      <c r="F3" s="42"/>
      <c r="G3" s="42"/>
      <c r="H3" s="42"/>
      <c r="I3" s="42"/>
      <c r="J3" s="42"/>
      <c r="K3" s="42"/>
      <c r="L3" s="42"/>
      <c r="M3" s="42"/>
      <c r="N3" s="42"/>
    </row>
    <row r="5" ht="24" customHeight="1" spans="2:14" x14ac:dyDescent="0.25">
      <c r="B5" s="18" t="s">
        <v>70</v>
      </c>
      <c r="C5" s="18"/>
      <c r="D5" s="18"/>
      <c r="E5" s="18"/>
      <c r="F5" s="18"/>
      <c r="G5" s="18"/>
      <c r="H5" s="18"/>
      <c r="I5" s="18"/>
      <c r="J5" s="18"/>
      <c r="K5" s="18"/>
      <c r="L5" s="18"/>
      <c r="M5" s="18"/>
      <c r="N5" s="18"/>
    </row>
    <row r="7" ht="19" customHeight="1" spans="2:5" x14ac:dyDescent="0.25">
      <c r="B7" s="43" t="s">
        <v>71</v>
      </c>
      <c r="C7" t="s">
        <v>72</v>
      </c>
      <c r="D7" t="s">
        <v>73</v>
      </c>
      <c r="E7" t="s">
        <v>74</v>
      </c>
    </row>
    <row r="8" ht="19" customHeight="1" spans="2:5" x14ac:dyDescent="0.25">
      <c r="B8" s="43" t="s">
        <v>75</v>
      </c>
      <c r="C8" t="s">
        <v>76</v>
      </c>
      <c r="D8" t="s">
        <v>73</v>
      </c>
      <c r="E8" t="s">
        <v>77</v>
      </c>
    </row>
    <row r="9" ht="19" customHeight="1" spans="2:5" x14ac:dyDescent="0.25">
      <c r="B9" s="43" t="s">
        <v>78</v>
      </c>
      <c r="C9" t="s">
        <v>79</v>
      </c>
      <c r="D9" t="s">
        <v>73</v>
      </c>
      <c r="E9" t="s">
        <v>80</v>
      </c>
    </row>
    <row r="10" ht="19" customHeight="1" spans="2:3" x14ac:dyDescent="0.25">
      <c r="B10" s="43" t="s">
        <v>81</v>
      </c>
      <c r="C10" t="s">
        <v>82</v>
      </c>
    </row>
    <row r="11" ht="19" customHeight="1" spans="2:3" x14ac:dyDescent="0.25">
      <c r="B11" s="43" t="s">
        <v>83</v>
      </c>
      <c r="C11" s="44">
        <v>165000</v>
      </c>
    </row>
    <row r="12" ht="19" customHeight="1" spans="2:3" x14ac:dyDescent="0.25">
      <c r="B12" s="43" t="s">
        <v>84</v>
      </c>
      <c r="C12" s="45">
        <v>9500</v>
      </c>
    </row>
    <row r="14" ht="24" customHeight="1" spans="2:14" x14ac:dyDescent="0.25">
      <c r="B14" s="18" t="s">
        <v>85</v>
      </c>
      <c r="C14" s="18"/>
      <c r="D14" s="18"/>
      <c r="E14" s="18"/>
      <c r="F14" s="18"/>
      <c r="G14" s="18"/>
      <c r="H14" s="18"/>
      <c r="I14" s="18"/>
      <c r="J14" s="18"/>
      <c r="K14" s="18"/>
      <c r="L14" s="18"/>
      <c r="M14" s="18"/>
      <c r="N14" s="18"/>
    </row>
    <row r="15" ht="16" customHeight="1" spans="2:14" x14ac:dyDescent="0.25">
      <c r="B15" s="26" t="s">
        <v>86</v>
      </c>
      <c r="C15" s="26"/>
      <c r="D15" s="26"/>
      <c r="E15" s="26"/>
      <c r="F15" s="26"/>
      <c r="G15" s="26"/>
      <c r="H15" s="26"/>
      <c r="I15" s="26"/>
      <c r="J15" s="26"/>
      <c r="K15" s="26"/>
      <c r="L15" s="26"/>
      <c r="M15" s="26"/>
      <c r="N15" s="26"/>
    </row>
    <row r="16" ht="30" customHeight="1" spans="2:8" x14ac:dyDescent="0.25">
      <c r="B16" s="27" t="s">
        <v>87</v>
      </c>
      <c r="C16" s="28" t="s">
        <v>88</v>
      </c>
      <c r="D16" s="28" t="s">
        <v>89</v>
      </c>
      <c r="E16" s="28" t="s">
        <v>90</v>
      </c>
      <c r="F16" s="28" t="s">
        <v>91</v>
      </c>
      <c r="G16" s="28" t="s">
        <v>92</v>
      </c>
      <c r="H16" s="28" t="s">
        <v>93</v>
      </c>
    </row>
    <row r="17" ht="19" customHeight="1" spans="2:8" x14ac:dyDescent="0.25">
      <c r="B17" s="29" t="s">
        <v>94</v>
      </c>
      <c r="C17" s="36">
        <v>820000</v>
      </c>
      <c r="D17" s="36">
        <v>0</v>
      </c>
      <c r="E17" s="30">
        <v>0.6</v>
      </c>
      <c r="F17" s="46">
        <v>0.005</v>
      </c>
      <c r="G17" s="36">
        <v>976428.5694769318</v>
      </c>
      <c r="H17" s="36">
        <v>50198.032487461816</v>
      </c>
    </row>
    <row r="18" ht="19" customHeight="1" spans="2:8" x14ac:dyDescent="0.25">
      <c r="B18" s="33" t="s">
        <v>95</v>
      </c>
      <c r="C18" s="34">
        <v>215000</v>
      </c>
      <c r="D18" s="34">
        <v>0</v>
      </c>
      <c r="E18" s="47">
        <v>0.7</v>
      </c>
      <c r="F18" s="48">
        <v>0.0035</v>
      </c>
      <c r="G18" s="34">
        <v>273392.146689769</v>
      </c>
      <c r="H18" s="34">
        <v>0</v>
      </c>
    </row>
    <row r="19" ht="19" customHeight="1" spans="2:8" x14ac:dyDescent="0.25">
      <c r="B19" s="29" t="s">
        <v>96</v>
      </c>
      <c r="C19" s="36">
        <v>320000</v>
      </c>
      <c r="D19" s="36">
        <v>0</v>
      </c>
      <c r="E19" s="30">
        <v>0.5</v>
      </c>
      <c r="F19" s="46">
        <v>0.004</v>
      </c>
      <c r="G19" s="36">
        <v>364421.11614274984</v>
      </c>
      <c r="H19" s="36">
        <v>0</v>
      </c>
    </row>
    <row r="20" ht="19" customHeight="1" spans="2:8" x14ac:dyDescent="0.25">
      <c r="B20" s="33" t="s">
        <v>97</v>
      </c>
      <c r="C20" s="34">
        <v>0</v>
      </c>
      <c r="D20" s="34">
        <v>0</v>
      </c>
      <c r="E20" s="47">
        <v>0.7</v>
      </c>
      <c r="F20" s="48">
        <v>0.0035</v>
      </c>
      <c r="G20" s="34">
        <v>0</v>
      </c>
      <c r="H20" s="34">
        <v>0</v>
      </c>
    </row>
    <row r="21" ht="19" customHeight="1" spans="2:8" x14ac:dyDescent="0.25">
      <c r="B21" s="49" t="s">
        <v>98</v>
      </c>
      <c r="C21" s="36">
        <v>1355000</v>
      </c>
      <c r="D21" s="36">
        <v>0</v>
      </c>
      <c r="E21" s="32"/>
      <c r="F21" s="32"/>
      <c r="G21" s="36">
        <v>1614241.8323094505</v>
      </c>
      <c r="H21" s="36">
        <v>50198.032487461816</v>
      </c>
    </row>
    <row r="23" ht="24" customHeight="1" spans="2:14" x14ac:dyDescent="0.25">
      <c r="B23" s="18" t="s">
        <v>99</v>
      </c>
      <c r="C23" s="18"/>
      <c r="D23" s="18"/>
      <c r="E23" s="18"/>
      <c r="F23" s="18"/>
      <c r="G23" s="18"/>
      <c r="H23" s="18"/>
      <c r="I23" s="18"/>
      <c r="J23" s="18"/>
      <c r="K23" s="18"/>
      <c r="L23" s="18"/>
      <c r="M23" s="18"/>
      <c r="N23" s="18"/>
    </row>
    <row r="25" ht="30" customHeight="1" spans="2:7" x14ac:dyDescent="0.25">
      <c r="B25" s="27" t="s">
        <v>100</v>
      </c>
      <c r="C25" s="28" t="s">
        <v>101</v>
      </c>
      <c r="D25" s="28" t="s">
        <v>102</v>
      </c>
      <c r="E25" s="28" t="s">
        <v>103</v>
      </c>
      <c r="F25" s="28" t="s">
        <v>104</v>
      </c>
      <c r="G25" s="28" t="s">
        <v>50</v>
      </c>
    </row>
    <row r="26" ht="19" customHeight="1" spans="2:7" x14ac:dyDescent="0.25">
      <c r="B26" s="33" t="s">
        <v>105</v>
      </c>
      <c r="C26" s="35" t="s">
        <v>106</v>
      </c>
      <c r="D26" s="34">
        <v>1390.0687500000001</v>
      </c>
      <c r="E26" s="34">
        <v>16680.825</v>
      </c>
      <c r="F26" s="35" t="s">
        <v>107</v>
      </c>
      <c r="G26" s="35"/>
    </row>
    <row r="27" ht="19" customHeight="1" spans="2:7" x14ac:dyDescent="0.25">
      <c r="B27" s="29" t="s">
        <v>108</v>
      </c>
      <c r="C27" s="32" t="s">
        <v>106</v>
      </c>
      <c r="D27" s="36">
        <v>508.84749999999997</v>
      </c>
      <c r="E27" s="36">
        <v>6106.17</v>
      </c>
      <c r="F27" s="32" t="s">
        <v>107</v>
      </c>
      <c r="G27" s="32"/>
    </row>
    <row r="28" ht="19" customHeight="1" spans="2:7" x14ac:dyDescent="0.25">
      <c r="B28" s="33" t="s">
        <v>109</v>
      </c>
      <c r="C28" s="35" t="s">
        <v>106</v>
      </c>
      <c r="D28" s="34">
        <v>1112.055</v>
      </c>
      <c r="E28" s="34">
        <v>13344.66</v>
      </c>
      <c r="F28" s="35"/>
      <c r="G28" s="35"/>
    </row>
    <row r="29" ht="19" customHeight="1" spans="2:7" x14ac:dyDescent="0.25">
      <c r="B29" s="29" t="s">
        <v>110</v>
      </c>
      <c r="C29" s="32" t="s">
        <v>106</v>
      </c>
      <c r="D29" s="36">
        <v>742.31</v>
      </c>
      <c r="E29" s="36">
        <v>8907.72</v>
      </c>
      <c r="F29" s="32"/>
      <c r="G29" s="32"/>
    </row>
    <row r="30" ht="19" customHeight="1" spans="2:7" x14ac:dyDescent="0.25">
      <c r="B30" s="50" t="s">
        <v>98</v>
      </c>
      <c r="C30" s="35" t="s">
        <v>111</v>
      </c>
      <c r="D30" s="34">
        <v>5306.477556879672</v>
      </c>
      <c r="E30" s="34">
        <v>63677.730682556066</v>
      </c>
      <c r="F30" s="35"/>
      <c r="G30" s="35" t="s">
        <v>112</v>
      </c>
    </row>
    <row r="34" spans="2:14" x14ac:dyDescent="0.25">
      <c r="B34" s="40" t="s">
        <v>67</v>
      </c>
      <c r="C34" s="40"/>
      <c r="D34" s="40"/>
      <c r="E34" s="40"/>
      <c r="F34" s="40"/>
      <c r="G34" s="40"/>
      <c r="H34" s="40"/>
      <c r="I34" s="40"/>
      <c r="J34" s="40"/>
      <c r="K34" s="40"/>
      <c r="L34" s="40"/>
      <c r="M34" s="40"/>
      <c r="N34" s="40"/>
    </row>
  </sheetData>
  <autoFilter ref="B25:G25"/>
  <mergeCells count="7">
    <mergeCell ref="B2:N2"/>
    <mergeCell ref="B3:N3"/>
    <mergeCell ref="B5:N5"/>
    <mergeCell ref="B14:N14"/>
    <mergeCell ref="B15:N15"/>
    <mergeCell ref="B23:N23"/>
    <mergeCell ref="B34:N34"/>
  </mergeCells>
  <pageSetup paperSize="9" orientation="landscape" fitToWidth="1" fitToHeight="0"/>
  <headerFooter>
    <oddFooter>&amp;L&amp;8BuildFi Technologies inc.&amp;C&amp;8Page &amp;P / &amp;N&amp;R&amp;8&amp;D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72"/>
  <sheetViews>
    <sheetView workbookViewId="0">
      <pane ySplit="39" topLeftCell="A40" activePane="bottomLeft" state="frozen"/>
      <selection pane="bottomLeft"/>
    </sheetView>
  </sheetViews>
  <sheetFormatPr defaultRowHeight="15" outlineLevelRow="0" outlineLevelCol="0" x14ac:dyDescent="55"/>
  <cols>
    <col min="1" max="1" width="3" customWidth="1"/>
    <col min="2" max="2" width="30" customWidth="1"/>
    <col min="3" max="3" width="14" customWidth="1"/>
    <col min="4" max="6" width="18" customWidth="1"/>
    <col min="7" max="7" width="26" customWidth="1"/>
    <col min="8" max="14" width="14" customWidth="1"/>
  </cols>
  <sheetData>
    <row r="1" ht="8" customHeight="1" x14ac:dyDescent="0.25"/>
    <row r="2" ht="28" customHeight="1" spans="2:14" x14ac:dyDescent="0.25">
      <c r="B2" s="41" t="s">
        <v>21</v>
      </c>
      <c r="C2" s="41"/>
      <c r="D2" s="41"/>
      <c r="E2" s="41"/>
      <c r="F2" s="41"/>
      <c r="G2" s="41"/>
      <c r="H2" s="41"/>
      <c r="I2" s="41"/>
      <c r="J2" s="41"/>
      <c r="K2" s="41"/>
      <c r="L2" s="41"/>
      <c r="M2" s="41"/>
      <c r="N2" s="41"/>
    </row>
    <row r="3" ht="16" customHeight="1" spans="2:14" x14ac:dyDescent="0.25">
      <c r="B3" s="42" t="s">
        <v>113</v>
      </c>
      <c r="C3" s="42"/>
      <c r="D3" s="42"/>
      <c r="E3" s="42"/>
      <c r="F3" s="42"/>
      <c r="G3" s="42"/>
      <c r="H3" s="42"/>
      <c r="I3" s="42"/>
      <c r="J3" s="42"/>
      <c r="K3" s="42"/>
      <c r="L3" s="42"/>
      <c r="M3" s="42"/>
      <c r="N3" s="42"/>
    </row>
    <row r="5" ht="24" customHeight="1" spans="2:14" x14ac:dyDescent="0.25">
      <c r="B5" s="18" t="s">
        <v>114</v>
      </c>
      <c r="C5" s="18"/>
      <c r="D5" s="18"/>
      <c r="E5" s="18"/>
      <c r="F5" s="18"/>
      <c r="G5" s="18"/>
      <c r="H5" s="18"/>
      <c r="I5" s="18"/>
      <c r="J5" s="18"/>
      <c r="K5" s="18"/>
      <c r="L5" s="18"/>
      <c r="M5" s="18"/>
      <c r="N5" s="18"/>
    </row>
    <row r="7" ht="30" customHeight="1" spans="2:4" x14ac:dyDescent="0.25">
      <c r="B7" s="27" t="s">
        <v>115</v>
      </c>
      <c r="C7" s="28" t="s">
        <v>116</v>
      </c>
      <c r="D7" s="28" t="s">
        <v>50</v>
      </c>
    </row>
    <row r="8" ht="19" customHeight="1" spans="2:4" x14ac:dyDescent="0.25">
      <c r="B8" s="33" t="s">
        <v>71</v>
      </c>
      <c r="C8" s="35">
        <v>52</v>
      </c>
      <c r="D8" s="35" t="s">
        <v>73</v>
      </c>
    </row>
    <row r="9" ht="19" customHeight="1" spans="2:4" x14ac:dyDescent="0.25">
      <c r="B9" s="29" t="s">
        <v>117</v>
      </c>
      <c r="C9" s="32" t="s">
        <v>118</v>
      </c>
      <c r="D9" s="32" t="s">
        <v>73</v>
      </c>
    </row>
    <row r="10" ht="19" customHeight="1" spans="2:4" x14ac:dyDescent="0.25">
      <c r="B10" s="33" t="s">
        <v>75</v>
      </c>
      <c r="C10" s="35">
        <v>62</v>
      </c>
      <c r="D10" s="35" t="s">
        <v>119</v>
      </c>
    </row>
    <row r="11" ht="19" customHeight="1" spans="2:4" x14ac:dyDescent="0.25">
      <c r="B11" s="29" t="s">
        <v>120</v>
      </c>
      <c r="C11" s="32">
        <v>0</v>
      </c>
      <c r="D11" s="32" t="s">
        <v>73</v>
      </c>
    </row>
    <row r="12" ht="19" customHeight="1" spans="2:4" x14ac:dyDescent="0.25">
      <c r="B12" s="33" t="s">
        <v>83</v>
      </c>
      <c r="C12" s="34">
        <v>142000</v>
      </c>
      <c r="D12" s="35" t="s">
        <v>121</v>
      </c>
    </row>
    <row r="13" ht="19" customHeight="1" spans="2:4" x14ac:dyDescent="0.25">
      <c r="B13" s="29" t="s">
        <v>122</v>
      </c>
      <c r="C13" s="36">
        <v>0</v>
      </c>
      <c r="D13" s="32" t="s">
        <v>123</v>
      </c>
    </row>
    <row r="15" ht="24" customHeight="1" spans="2:14" x14ac:dyDescent="0.25">
      <c r="B15" s="18" t="s">
        <v>124</v>
      </c>
      <c r="C15" s="18"/>
      <c r="D15" s="18"/>
      <c r="E15" s="18"/>
      <c r="F15" s="18"/>
      <c r="G15" s="18"/>
      <c r="H15" s="18"/>
      <c r="I15" s="18"/>
      <c r="J15" s="18"/>
      <c r="K15" s="18"/>
      <c r="L15" s="18"/>
      <c r="M15" s="18"/>
      <c r="N15" s="18"/>
    </row>
    <row r="17" ht="30" customHeight="1" spans="2:6" x14ac:dyDescent="0.25">
      <c r="B17" s="27" t="s">
        <v>87</v>
      </c>
      <c r="C17" s="28" t="s">
        <v>88</v>
      </c>
      <c r="D17" s="28" t="s">
        <v>125</v>
      </c>
      <c r="E17" s="28" t="s">
        <v>126</v>
      </c>
      <c r="F17" s="28" t="s">
        <v>127</v>
      </c>
    </row>
    <row r="18" ht="19" customHeight="1" spans="2:6" x14ac:dyDescent="0.25">
      <c r="B18" s="33" t="s">
        <v>94</v>
      </c>
      <c r="C18" s="34">
        <v>410000</v>
      </c>
      <c r="D18" s="34">
        <v>0</v>
      </c>
      <c r="E18" s="34">
        <v>349647.89931319293</v>
      </c>
      <c r="F18" s="34">
        <v>648444.5395331762</v>
      </c>
    </row>
    <row r="19" ht="19" customHeight="1" spans="2:6" x14ac:dyDescent="0.25">
      <c r="B19" s="29" t="s">
        <v>95</v>
      </c>
      <c r="C19" s="36">
        <v>145000</v>
      </c>
      <c r="D19" s="36">
        <v>0</v>
      </c>
      <c r="E19" s="36">
        <v>153766.96851017032</v>
      </c>
      <c r="F19" s="36">
        <v>973835.8199570334</v>
      </c>
    </row>
    <row r="20" ht="19" customHeight="1" spans="2:6" x14ac:dyDescent="0.25">
      <c r="B20" s="33" t="s">
        <v>128</v>
      </c>
      <c r="C20" s="34">
        <v>95000</v>
      </c>
      <c r="D20" s="34">
        <v>0</v>
      </c>
      <c r="E20" s="34">
        <v>75700.2986766363</v>
      </c>
      <c r="F20" s="34">
        <v>326128.8076908451</v>
      </c>
    </row>
    <row r="21" ht="19" customHeight="1" spans="2:6" x14ac:dyDescent="0.25">
      <c r="B21" s="29" t="s">
        <v>129</v>
      </c>
      <c r="C21" s="36">
        <v>0</v>
      </c>
      <c r="D21" s="36">
        <v>0</v>
      </c>
      <c r="E21" s="32"/>
      <c r="F21" s="32"/>
    </row>
    <row r="22" ht="19" customHeight="1" spans="2:6" x14ac:dyDescent="0.25">
      <c r="B22" s="33" t="s">
        <v>130</v>
      </c>
      <c r="C22" s="34">
        <v>0</v>
      </c>
      <c r="D22" s="34">
        <v>0</v>
      </c>
      <c r="E22" s="35"/>
      <c r="F22" s="34">
        <v>0</v>
      </c>
    </row>
    <row r="23" ht="19" customHeight="1" spans="2:6" x14ac:dyDescent="0.25">
      <c r="B23" s="29" t="s">
        <v>131</v>
      </c>
      <c r="C23" s="36">
        <v>0</v>
      </c>
      <c r="D23" s="36">
        <v>0</v>
      </c>
      <c r="E23" s="32"/>
      <c r="F23" s="32"/>
    </row>
    <row r="24" ht="19" customHeight="1" spans="2:6" x14ac:dyDescent="0.25">
      <c r="B24" s="33" t="s">
        <v>132</v>
      </c>
      <c r="C24" s="34">
        <v>0</v>
      </c>
      <c r="D24" s="34">
        <v>0</v>
      </c>
      <c r="E24" s="35"/>
      <c r="F24" s="35"/>
    </row>
    <row r="26" ht="24" customHeight="1" spans="2:14" x14ac:dyDescent="0.25">
      <c r="B26" s="18" t="s">
        <v>133</v>
      </c>
      <c r="C26" s="18"/>
      <c r="D26" s="18"/>
      <c r="E26" s="18"/>
      <c r="F26" s="18"/>
      <c r="G26" s="18"/>
      <c r="H26" s="18"/>
      <c r="I26" s="18"/>
      <c r="J26" s="18"/>
      <c r="K26" s="18"/>
      <c r="L26" s="18"/>
      <c r="M26" s="18"/>
      <c r="N26" s="18"/>
    </row>
    <row r="28" ht="30" customHeight="1" spans="2:6" x14ac:dyDescent="0.25">
      <c r="B28" s="27" t="s">
        <v>134</v>
      </c>
      <c r="C28" s="28" t="s">
        <v>135</v>
      </c>
      <c r="D28" s="28" t="s">
        <v>102</v>
      </c>
      <c r="E28" s="28" t="s">
        <v>103</v>
      </c>
      <c r="F28" s="28" t="s">
        <v>136</v>
      </c>
    </row>
    <row r="29" ht="19" customHeight="1" spans="2:6" x14ac:dyDescent="0.25">
      <c r="B29" s="29" t="s">
        <v>137</v>
      </c>
      <c r="C29" s="32">
        <v>65</v>
      </c>
      <c r="D29" s="36">
        <v>1112.055</v>
      </c>
      <c r="E29" s="36">
        <v>13344.66</v>
      </c>
      <c r="F29" s="32" t="s">
        <v>138</v>
      </c>
    </row>
    <row r="30" ht="19" customHeight="1" spans="2:6" x14ac:dyDescent="0.25">
      <c r="B30" s="33" t="s">
        <v>108</v>
      </c>
      <c r="C30" s="35">
        <v>65</v>
      </c>
      <c r="D30" s="34">
        <v>742.31</v>
      </c>
      <c r="E30" s="34">
        <v>8907.72</v>
      </c>
      <c r="F30" s="35" t="s">
        <v>139</v>
      </c>
    </row>
    <row r="32" ht="24" customHeight="1" spans="2:14" x14ac:dyDescent="0.25">
      <c r="B32" s="18" t="s">
        <v>140</v>
      </c>
      <c r="C32" s="18"/>
      <c r="D32" s="18"/>
      <c r="E32" s="18"/>
      <c r="F32" s="18"/>
      <c r="G32" s="18"/>
      <c r="H32" s="18"/>
      <c r="I32" s="18"/>
      <c r="J32" s="18"/>
      <c r="K32" s="18"/>
      <c r="L32" s="18"/>
      <c r="M32" s="18"/>
      <c r="N32" s="18"/>
    </row>
    <row r="34" ht="30" customHeight="1" spans="2:6" x14ac:dyDescent="0.25">
      <c r="B34" s="27" t="s">
        <v>141</v>
      </c>
      <c r="C34" s="28" t="s">
        <v>142</v>
      </c>
      <c r="D34" s="28" t="s">
        <v>104</v>
      </c>
      <c r="E34" s="28" t="s">
        <v>143</v>
      </c>
      <c r="F34" s="28" t="s">
        <v>144</v>
      </c>
    </row>
    <row r="35" ht="19" customHeight="1" spans="2:6" x14ac:dyDescent="0.25">
      <c r="B35" s="29" t="s">
        <v>145</v>
      </c>
      <c r="C35" s="36">
        <v>0</v>
      </c>
      <c r="D35" s="32" t="s">
        <v>146</v>
      </c>
      <c r="E35" s="32" t="s">
        <v>147</v>
      </c>
      <c r="F35" s="32" t="s">
        <v>145</v>
      </c>
    </row>
    <row r="37" ht="24" customHeight="1" spans="2:14" x14ac:dyDescent="0.25">
      <c r="B37" s="18" t="s">
        <v>148</v>
      </c>
      <c r="C37" s="18"/>
      <c r="D37" s="18"/>
      <c r="E37" s="18"/>
      <c r="F37" s="18"/>
      <c r="G37" s="18"/>
      <c r="H37" s="18"/>
      <c r="I37" s="18"/>
      <c r="J37" s="18"/>
      <c r="K37" s="18"/>
      <c r="L37" s="18"/>
      <c r="M37" s="18"/>
      <c r="N37" s="18"/>
    </row>
    <row r="39" ht="30" customHeight="1" spans="2:6" x14ac:dyDescent="0.25">
      <c r="B39" s="27" t="s">
        <v>149</v>
      </c>
      <c r="C39" s="28" t="s">
        <v>71</v>
      </c>
      <c r="D39" s="28" t="s">
        <v>150</v>
      </c>
      <c r="E39" s="28" t="s">
        <v>151</v>
      </c>
      <c r="F39" s="28" t="s">
        <v>152</v>
      </c>
    </row>
    <row r="40" ht="19" customHeight="1" spans="2:6" x14ac:dyDescent="0.25">
      <c r="B40" s="33">
        <v>2026</v>
      </c>
      <c r="C40" s="35">
        <v>52</v>
      </c>
      <c r="D40" s="34">
        <v>0</v>
      </c>
      <c r="E40" s="34">
        <v>0</v>
      </c>
      <c r="F40" s="51">
        <f>IFERROR(E40/D40,0)</f>
        <v>0</v>
      </c>
    </row>
    <row r="41" ht="19" customHeight="1" spans="2:6" x14ac:dyDescent="0.25">
      <c r="B41" s="29">
        <v>2027</v>
      </c>
      <c r="C41" s="32">
        <v>53</v>
      </c>
      <c r="D41" s="36">
        <v>0</v>
      </c>
      <c r="E41" s="36">
        <v>0</v>
      </c>
      <c r="F41" s="38">
        <f>IFERROR(E41/D41,0)</f>
        <v>0</v>
      </c>
    </row>
    <row r="42" ht="19" customHeight="1" spans="2:6" x14ac:dyDescent="0.25">
      <c r="B42" s="33">
        <v>2028</v>
      </c>
      <c r="C42" s="35">
        <v>54</v>
      </c>
      <c r="D42" s="34">
        <v>0</v>
      </c>
      <c r="E42" s="34">
        <v>0</v>
      </c>
      <c r="F42" s="51">
        <f>IFERROR(E42/D42,0)</f>
        <v>0</v>
      </c>
    </row>
    <row r="43" ht="19" customHeight="1" spans="2:6" x14ac:dyDescent="0.25">
      <c r="B43" s="29">
        <v>2029</v>
      </c>
      <c r="C43" s="32">
        <v>55</v>
      </c>
      <c r="D43" s="36">
        <v>0</v>
      </c>
      <c r="E43" s="36">
        <v>0</v>
      </c>
      <c r="F43" s="38">
        <f>IFERROR(E43/D43,0)</f>
        <v>0</v>
      </c>
    </row>
    <row r="44" ht="19" customHeight="1" spans="2:6" x14ac:dyDescent="0.25">
      <c r="B44" s="33">
        <v>2030</v>
      </c>
      <c r="C44" s="35">
        <v>56</v>
      </c>
      <c r="D44" s="34">
        <v>0</v>
      </c>
      <c r="E44" s="34">
        <v>0</v>
      </c>
      <c r="F44" s="51">
        <f>IFERROR(E44/D44,0)</f>
        <v>0</v>
      </c>
    </row>
    <row r="45" ht="19" customHeight="1" spans="2:6" x14ac:dyDescent="0.25">
      <c r="B45" s="29">
        <v>2031</v>
      </c>
      <c r="C45" s="32">
        <v>57</v>
      </c>
      <c r="D45" s="36">
        <v>0</v>
      </c>
      <c r="E45" s="36">
        <v>0</v>
      </c>
      <c r="F45" s="38">
        <f>IFERROR(E45/D45,0)</f>
        <v>0</v>
      </c>
    </row>
    <row r="46" ht="19" customHeight="1" spans="2:6" x14ac:dyDescent="0.25">
      <c r="B46" s="33">
        <v>2032</v>
      </c>
      <c r="C46" s="35">
        <v>58</v>
      </c>
      <c r="D46" s="34">
        <v>0</v>
      </c>
      <c r="E46" s="34">
        <v>0</v>
      </c>
      <c r="F46" s="51">
        <f>IFERROR(E46/D46,0)</f>
        <v>0</v>
      </c>
    </row>
    <row r="47" ht="19" customHeight="1" spans="2:6" x14ac:dyDescent="0.25">
      <c r="B47" s="29">
        <v>2033</v>
      </c>
      <c r="C47" s="32">
        <v>59</v>
      </c>
      <c r="D47" s="36">
        <v>0</v>
      </c>
      <c r="E47" s="36">
        <v>0</v>
      </c>
      <c r="F47" s="38">
        <f>IFERROR(E47/D47,0)</f>
        <v>0</v>
      </c>
    </row>
    <row r="48" ht="19" customHeight="1" spans="2:6" x14ac:dyDescent="0.25">
      <c r="B48" s="33">
        <v>2034</v>
      </c>
      <c r="C48" s="35">
        <v>60</v>
      </c>
      <c r="D48" s="34">
        <v>0</v>
      </c>
      <c r="E48" s="34">
        <v>0</v>
      </c>
      <c r="F48" s="51">
        <f>IFERROR(E48/D48,0)</f>
        <v>0</v>
      </c>
    </row>
    <row r="49" ht="19" customHeight="1" spans="2:6" x14ac:dyDescent="0.25">
      <c r="B49" s="29">
        <v>2035</v>
      </c>
      <c r="C49" s="32">
        <v>61</v>
      </c>
      <c r="D49" s="36">
        <v>0</v>
      </c>
      <c r="E49" s="36">
        <v>0</v>
      </c>
      <c r="F49" s="38">
        <f>IFERROR(E49/D49,0)</f>
        <v>0</v>
      </c>
    </row>
    <row r="50" ht="19" customHeight="1" spans="2:6" x14ac:dyDescent="0.25">
      <c r="B50" s="33">
        <v>2036</v>
      </c>
      <c r="C50" s="35">
        <v>62</v>
      </c>
      <c r="D50" s="34">
        <v>0</v>
      </c>
      <c r="E50" s="34">
        <v>0</v>
      </c>
      <c r="F50" s="51">
        <f>IFERROR(E50/D50,0)</f>
        <v>0</v>
      </c>
    </row>
    <row r="51" ht="19" customHeight="1" spans="2:6" x14ac:dyDescent="0.25">
      <c r="B51" s="29">
        <v>2037</v>
      </c>
      <c r="C51" s="32">
        <v>63</v>
      </c>
      <c r="D51" s="36">
        <v>0</v>
      </c>
      <c r="E51" s="36">
        <v>0</v>
      </c>
      <c r="F51" s="38">
        <f>IFERROR(E51/D51,0)</f>
        <v>0</v>
      </c>
    </row>
    <row r="52" ht="19" customHeight="1" spans="2:6" x14ac:dyDescent="0.25">
      <c r="B52" s="33">
        <v>2038</v>
      </c>
      <c r="C52" s="35">
        <v>64</v>
      </c>
      <c r="D52" s="34">
        <v>0</v>
      </c>
      <c r="E52" s="34">
        <v>0</v>
      </c>
      <c r="F52" s="51">
        <f>IFERROR(E52/D52,0)</f>
        <v>0</v>
      </c>
    </row>
    <row r="53" ht="19" customHeight="1" spans="2:6" x14ac:dyDescent="0.25">
      <c r="B53" s="29">
        <v>2039</v>
      </c>
      <c r="C53" s="32">
        <v>65</v>
      </c>
      <c r="D53" s="36">
        <v>0</v>
      </c>
      <c r="E53" s="36">
        <v>0</v>
      </c>
      <c r="F53" s="38">
        <f>IFERROR(E53/D53,0)</f>
        <v>0</v>
      </c>
    </row>
    <row r="54" ht="19" customHeight="1" spans="2:6" x14ac:dyDescent="0.25">
      <c r="B54" s="33">
        <v>2040</v>
      </c>
      <c r="C54" s="35">
        <v>66</v>
      </c>
      <c r="D54" s="34">
        <v>0</v>
      </c>
      <c r="E54" s="34">
        <v>0</v>
      </c>
      <c r="F54" s="51">
        <f>IFERROR(E54/D54,0)</f>
        <v>0</v>
      </c>
    </row>
    <row r="55" ht="19" customHeight="1" spans="2:6" x14ac:dyDescent="0.25">
      <c r="B55" s="29">
        <v>2041</v>
      </c>
      <c r="C55" s="32">
        <v>67</v>
      </c>
      <c r="D55" s="36">
        <v>0</v>
      </c>
      <c r="E55" s="36">
        <v>0</v>
      </c>
      <c r="F55" s="38">
        <f>IFERROR(E55/D55,0)</f>
        <v>0</v>
      </c>
    </row>
    <row r="56" ht="19" customHeight="1" spans="2:6" x14ac:dyDescent="0.25">
      <c r="B56" s="33">
        <v>2042</v>
      </c>
      <c r="C56" s="35">
        <v>68</v>
      </c>
      <c r="D56" s="34">
        <v>0</v>
      </c>
      <c r="E56" s="34">
        <v>0</v>
      </c>
      <c r="F56" s="51">
        <f>IFERROR(E56/D56,0)</f>
        <v>0</v>
      </c>
    </row>
    <row r="57" ht="19" customHeight="1" spans="2:6" x14ac:dyDescent="0.25">
      <c r="B57" s="29">
        <v>2043</v>
      </c>
      <c r="C57" s="32">
        <v>69</v>
      </c>
      <c r="D57" s="36">
        <v>0</v>
      </c>
      <c r="E57" s="36">
        <v>0</v>
      </c>
      <c r="F57" s="38">
        <f>IFERROR(E57/D57,0)</f>
        <v>0</v>
      </c>
    </row>
    <row r="58" ht="19" customHeight="1" spans="2:6" x14ac:dyDescent="0.25">
      <c r="B58" s="33">
        <v>2044</v>
      </c>
      <c r="C58" s="35">
        <v>70</v>
      </c>
      <c r="D58" s="34">
        <v>0</v>
      </c>
      <c r="E58" s="34">
        <v>0</v>
      </c>
      <c r="F58" s="51">
        <f>IFERROR(E58/D58,0)</f>
        <v>0</v>
      </c>
    </row>
    <row r="59" ht="19" customHeight="1" spans="2:6" x14ac:dyDescent="0.25">
      <c r="B59" s="29">
        <v>2045</v>
      </c>
      <c r="C59" s="32">
        <v>71</v>
      </c>
      <c r="D59" s="36">
        <v>0</v>
      </c>
      <c r="E59" s="36">
        <v>0</v>
      </c>
      <c r="F59" s="38">
        <f>IFERROR(E59/D59,0)</f>
        <v>0</v>
      </c>
    </row>
    <row r="60" ht="19" customHeight="1" spans="2:6" x14ac:dyDescent="0.25">
      <c r="B60" s="33">
        <v>2046</v>
      </c>
      <c r="C60" s="35">
        <v>72</v>
      </c>
      <c r="D60" s="34">
        <v>0</v>
      </c>
      <c r="E60" s="34">
        <v>0</v>
      </c>
      <c r="F60" s="51">
        <f>IFERROR(E60/D60,0)</f>
        <v>0</v>
      </c>
    </row>
    <row r="61" ht="19" customHeight="1" spans="2:6" x14ac:dyDescent="0.25">
      <c r="B61" s="29">
        <v>2047</v>
      </c>
      <c r="C61" s="32">
        <v>73</v>
      </c>
      <c r="D61" s="36">
        <v>0</v>
      </c>
      <c r="E61" s="36">
        <v>0</v>
      </c>
      <c r="F61" s="38">
        <f>IFERROR(E61/D61,0)</f>
        <v>0</v>
      </c>
    </row>
    <row r="62" ht="19" customHeight="1" spans="2:6" x14ac:dyDescent="0.25">
      <c r="B62" s="33">
        <v>2048</v>
      </c>
      <c r="C62" s="35">
        <v>74</v>
      </c>
      <c r="D62" s="34">
        <v>0</v>
      </c>
      <c r="E62" s="34">
        <v>0</v>
      </c>
      <c r="F62" s="51">
        <f>IFERROR(E62/D62,0)</f>
        <v>0</v>
      </c>
    </row>
    <row r="63" ht="19" customHeight="1" spans="2:6" x14ac:dyDescent="0.25">
      <c r="B63" s="29">
        <v>2049</v>
      </c>
      <c r="C63" s="32">
        <v>75</v>
      </c>
      <c r="D63" s="36">
        <v>0</v>
      </c>
      <c r="E63" s="36">
        <v>0</v>
      </c>
      <c r="F63" s="38">
        <f>IFERROR(E63/D63,0)</f>
        <v>0</v>
      </c>
    </row>
    <row r="64" ht="19" customHeight="1" spans="2:6" x14ac:dyDescent="0.25">
      <c r="B64" s="33">
        <v>2050</v>
      </c>
      <c r="C64" s="35">
        <v>76</v>
      </c>
      <c r="D64" s="34">
        <v>0</v>
      </c>
      <c r="E64" s="34">
        <v>0</v>
      </c>
      <c r="F64" s="51">
        <f>IFERROR(E64/D64,0)</f>
        <v>0</v>
      </c>
    </row>
    <row r="65" ht="19" customHeight="1" spans="2:6" x14ac:dyDescent="0.25">
      <c r="B65" s="29">
        <v>2051</v>
      </c>
      <c r="C65" s="32">
        <v>77</v>
      </c>
      <c r="D65" s="36">
        <v>0</v>
      </c>
      <c r="E65" s="36">
        <v>0</v>
      </c>
      <c r="F65" s="38">
        <f>IFERROR(E65/D65,0)</f>
        <v>0</v>
      </c>
    </row>
    <row r="66" ht="19" customHeight="1" spans="2:6" x14ac:dyDescent="0.25">
      <c r="B66" s="33">
        <v>2052</v>
      </c>
      <c r="C66" s="35">
        <v>78</v>
      </c>
      <c r="D66" s="34">
        <v>0</v>
      </c>
      <c r="E66" s="34">
        <v>0</v>
      </c>
      <c r="F66" s="51">
        <f>IFERROR(E66/D66,0)</f>
        <v>0</v>
      </c>
    </row>
    <row r="67" ht="19" customHeight="1" spans="2:6" x14ac:dyDescent="0.25">
      <c r="B67" s="29">
        <v>2053</v>
      </c>
      <c r="C67" s="32">
        <v>79</v>
      </c>
      <c r="D67" s="36">
        <v>0</v>
      </c>
      <c r="E67" s="36">
        <v>0</v>
      </c>
      <c r="F67" s="38">
        <f>IFERROR(E67/D67,0)</f>
        <v>0</v>
      </c>
    </row>
    <row r="68" ht="19" customHeight="1" spans="2:6" x14ac:dyDescent="0.25">
      <c r="B68" s="33">
        <v>2054</v>
      </c>
      <c r="C68" s="35">
        <v>80</v>
      </c>
      <c r="D68" s="34">
        <v>0</v>
      </c>
      <c r="E68" s="34">
        <v>0</v>
      </c>
      <c r="F68" s="51">
        <f>IFERROR(E68/D68,0)</f>
        <v>0</v>
      </c>
    </row>
    <row r="69" ht="19" customHeight="1" spans="2:6" x14ac:dyDescent="0.25">
      <c r="B69" s="29">
        <v>2055</v>
      </c>
      <c r="C69" s="32">
        <v>81</v>
      </c>
      <c r="D69" s="36">
        <v>0</v>
      </c>
      <c r="E69" s="36">
        <v>0</v>
      </c>
      <c r="F69" s="38">
        <f>IFERROR(E69/D69,0)</f>
        <v>0</v>
      </c>
    </row>
    <row r="72" spans="2:14" x14ac:dyDescent="0.25">
      <c r="B72" s="40" t="s">
        <v>67</v>
      </c>
      <c r="C72" s="40"/>
      <c r="D72" s="40"/>
      <c r="E72" s="40"/>
      <c r="F72" s="40"/>
      <c r="G72" s="40"/>
      <c r="H72" s="40"/>
      <c r="I72" s="40"/>
      <c r="J72" s="40"/>
      <c r="K72" s="40"/>
      <c r="L72" s="40"/>
      <c r="M72" s="40"/>
      <c r="N72" s="40"/>
    </row>
  </sheetData>
  <autoFilter ref="B39:F39"/>
  <mergeCells count="8">
    <mergeCell ref="B2:N2"/>
    <mergeCell ref="B3:N3"/>
    <mergeCell ref="B5:N5"/>
    <mergeCell ref="B15:N15"/>
    <mergeCell ref="B26:N26"/>
    <mergeCell ref="B32:N32"/>
    <mergeCell ref="B37:N37"/>
    <mergeCell ref="B72:N72"/>
  </mergeCells>
  <pageSetup paperSize="9" orientation="landscape" fitToWidth="1" fitToHeight="0"/>
  <headerFooter>
    <oddFooter>&amp;L&amp;8BuildFi Technologies inc.&amp;C&amp;8Page &amp;P / &amp;N&amp;R&amp;8&amp;D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15"/>
  <sheetFormatPr defaultRowHeight="15" outlineLevelRow="0" outlineLevelCol="0" x14ac:dyDescent="55"/>
  <cols>
    <col min="1" max="1" width="3" customWidth="1"/>
    <col min="2" max="2" width="6" customWidth="1"/>
    <col min="3" max="3" width="48" customWidth="1"/>
    <col min="4" max="4" width="6" customWidth="1"/>
    <col min="5" max="5" width="48" customWidth="1"/>
    <col min="6" max="6" width="6" customWidth="1"/>
    <col min="7" max="7" width="48" customWidth="1"/>
    <col min="8" max="14" width="14" customWidth="1"/>
  </cols>
  <sheetData>
    <row r="1" ht="8" customHeight="1" x14ac:dyDescent="0.25"/>
    <row r="2" ht="28" customHeight="1" spans="2:14" x14ac:dyDescent="0.25">
      <c r="B2" s="41" t="s">
        <v>153</v>
      </c>
      <c r="C2" s="41"/>
      <c r="D2" s="41"/>
      <c r="E2" s="41"/>
      <c r="F2" s="41"/>
      <c r="G2" s="41"/>
      <c r="H2" s="41"/>
      <c r="I2" s="41"/>
      <c r="J2" s="41"/>
      <c r="K2" s="41"/>
      <c r="L2" s="41"/>
      <c r="M2" s="41"/>
      <c r="N2" s="41"/>
    </row>
    <row r="3" ht="16" customHeight="1" spans="2:14" x14ac:dyDescent="0.25">
      <c r="B3" s="42" t="s">
        <v>154</v>
      </c>
      <c r="C3" s="42"/>
      <c r="D3" s="42"/>
      <c r="E3" s="42"/>
      <c r="F3" s="42"/>
      <c r="G3" s="42"/>
      <c r="H3" s="42"/>
      <c r="I3" s="42"/>
      <c r="J3" s="42"/>
      <c r="K3" s="42"/>
      <c r="L3" s="42"/>
      <c r="M3" s="42"/>
      <c r="N3" s="42"/>
    </row>
    <row r="5" ht="24" customHeight="1" spans="2:7" x14ac:dyDescent="0.25">
      <c r="B5" s="52" t="s">
        <v>155</v>
      </c>
      <c r="C5" s="52"/>
      <c r="D5" s="53" t="s">
        <v>156</v>
      </c>
      <c r="E5" s="53"/>
      <c r="F5" s="54" t="s">
        <v>157</v>
      </c>
      <c r="G5" s="54"/>
    </row>
    <row r="6" ht="38" customHeight="1" spans="2:7" x14ac:dyDescent="0.25">
      <c r="B6" s="55" t="s">
        <v>158</v>
      </c>
      <c r="C6" s="56" t="s">
        <v>159</v>
      </c>
      <c r="D6" s="57" t="s">
        <v>158</v>
      </c>
      <c r="E6" s="56" t="s">
        <v>160</v>
      </c>
      <c r="F6" s="58" t="s">
        <v>158</v>
      </c>
      <c r="G6" s="56" t="s">
        <v>161</v>
      </c>
    </row>
    <row r="7" ht="38" customHeight="1" spans="2:7" x14ac:dyDescent="0.25">
      <c r="B7" s="55" t="s">
        <v>158</v>
      </c>
      <c r="C7" s="56" t="s">
        <v>162</v>
      </c>
      <c r="D7" s="57" t="s">
        <v>158</v>
      </c>
      <c r="E7" s="56" t="s">
        <v>163</v>
      </c>
      <c r="F7" s="58" t="s">
        <v>158</v>
      </c>
      <c r="G7" s="56" t="s">
        <v>164</v>
      </c>
    </row>
    <row r="8" ht="38" customHeight="1" spans="4:7" x14ac:dyDescent="0.25">
      <c r="D8" s="57" t="s">
        <v>158</v>
      </c>
      <c r="E8" s="56" t="s">
        <v>165</v>
      </c>
      <c r="F8" s="58" t="s">
        <v>158</v>
      </c>
      <c r="G8" s="56" t="s">
        <v>166</v>
      </c>
    </row>
    <row r="9" ht="38" customHeight="1" spans="6:7" x14ac:dyDescent="0.25">
      <c r="F9" s="58" t="s">
        <v>158</v>
      </c>
      <c r="G9" s="56" t="s">
        <v>167</v>
      </c>
    </row>
    <row r="10" ht="38" customHeight="1" spans="6:7" x14ac:dyDescent="0.25">
      <c r="F10" s="58" t="s">
        <v>158</v>
      </c>
      <c r="G10" s="56" t="s">
        <v>168</v>
      </c>
    </row>
    <row r="12" ht="36" customHeight="1" spans="2:7" x14ac:dyDescent="0.25">
      <c r="B12" s="59" t="s">
        <v>169</v>
      </c>
      <c r="C12" s="59"/>
      <c r="D12" s="59"/>
      <c r="E12" s="59"/>
      <c r="F12" s="59"/>
      <c r="G12" s="59"/>
    </row>
    <row r="15" spans="2:14" x14ac:dyDescent="0.25">
      <c r="B15" s="40" t="s">
        <v>67</v>
      </c>
      <c r="C15" s="40"/>
      <c r="D15" s="40"/>
      <c r="E15" s="40"/>
      <c r="F15" s="40"/>
      <c r="G15" s="40"/>
      <c r="H15" s="40"/>
      <c r="I15" s="40"/>
      <c r="J15" s="40"/>
      <c r="K15" s="40"/>
      <c r="L15" s="40"/>
      <c r="M15" s="40"/>
      <c r="N15" s="40"/>
    </row>
  </sheetData>
  <mergeCells count="7">
    <mergeCell ref="B2:N2"/>
    <mergeCell ref="B3:N3"/>
    <mergeCell ref="B5:C5"/>
    <mergeCell ref="D5:E5"/>
    <mergeCell ref="F5:G5"/>
    <mergeCell ref="B12:G12"/>
    <mergeCell ref="B15:N15"/>
  </mergeCells>
  <pageSetup paperSize="9" orientation="landscape" fitToWidth="1" fitToHeight="0"/>
  <headerFooter>
    <oddFooter>&amp;L&amp;8BuildFi Technologies inc.&amp;C&amp;8Page &amp;P / &amp;N&amp;R&amp;8&amp;D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43"/>
  <sheetViews>
    <sheetView workbookViewId="0">
      <pane ySplit="5" topLeftCell="A6" activePane="bottomLeft" state="frozen"/>
      <selection pane="bottomLeft"/>
    </sheetView>
  </sheetViews>
  <sheetFormatPr defaultRowHeight="15" outlineLevelRow="0" outlineLevelCol="0" x14ac:dyDescent="55"/>
  <cols>
    <col min="1" max="1" width="3" customWidth="1"/>
    <col min="2" max="2" width="10" customWidth="1"/>
    <col min="3" max="3" width="8" customWidth="1"/>
    <col min="4" max="12" width="17" customWidth="1"/>
    <col min="13" max="13" width="18" customWidth="1"/>
  </cols>
  <sheetData>
    <row r="1" ht="8" customHeight="1" x14ac:dyDescent="0.25"/>
    <row r="2" ht="28" customHeight="1" spans="2:14" x14ac:dyDescent="0.25">
      <c r="B2" s="41" t="s">
        <v>170</v>
      </c>
      <c r="C2" s="41"/>
      <c r="D2" s="41"/>
      <c r="E2" s="41"/>
      <c r="F2" s="41"/>
      <c r="G2" s="41"/>
      <c r="H2" s="41"/>
      <c r="I2" s="41"/>
      <c r="J2" s="41"/>
      <c r="K2" s="41"/>
      <c r="L2" s="41"/>
      <c r="M2" s="41"/>
      <c r="N2" s="41"/>
    </row>
    <row r="3" ht="16" customHeight="1" spans="2:14" x14ac:dyDescent="0.25">
      <c r="B3" s="42" t="s">
        <v>171</v>
      </c>
      <c r="C3" s="42"/>
      <c r="D3" s="42"/>
      <c r="E3" s="42"/>
      <c r="F3" s="42"/>
      <c r="G3" s="42"/>
      <c r="H3" s="42"/>
      <c r="I3" s="42"/>
      <c r="J3" s="42"/>
      <c r="K3" s="42"/>
      <c r="L3" s="42"/>
      <c r="M3" s="42"/>
      <c r="N3" s="42"/>
    </row>
    <row r="5" ht="30" customHeight="1" spans="2:13" x14ac:dyDescent="0.25">
      <c r="B5" s="27" t="s">
        <v>149</v>
      </c>
      <c r="C5" s="28" t="s">
        <v>71</v>
      </c>
      <c r="D5" s="28" t="s">
        <v>94</v>
      </c>
      <c r="E5" s="28" t="s">
        <v>95</v>
      </c>
      <c r="F5" s="28" t="s">
        <v>96</v>
      </c>
      <c r="G5" s="28" t="s">
        <v>129</v>
      </c>
      <c r="H5" s="28" t="s">
        <v>32</v>
      </c>
      <c r="I5" s="28" t="s">
        <v>172</v>
      </c>
      <c r="J5" s="28" t="s">
        <v>173</v>
      </c>
      <c r="K5" s="28" t="s">
        <v>174</v>
      </c>
      <c r="L5" s="28" t="s">
        <v>175</v>
      </c>
      <c r="M5" s="28" t="s">
        <v>176</v>
      </c>
    </row>
    <row r="6" ht="19" customHeight="1" spans="2:13" x14ac:dyDescent="0.25">
      <c r="B6" s="33">
        <v>2026</v>
      </c>
      <c r="C6" s="35">
        <v>58</v>
      </c>
      <c r="D6" s="34">
        <v>855991.681384219</v>
      </c>
      <c r="E6" s="34">
        <v>232627.46027030543</v>
      </c>
      <c r="F6" s="34">
        <v>330193.4531114033</v>
      </c>
      <c r="G6" s="34">
        <v>0</v>
      </c>
      <c r="H6" s="34">
        <v>0</v>
      </c>
      <c r="I6" s="34">
        <v>0</v>
      </c>
      <c r="J6" s="34">
        <f>H6-I6</f>
        <v>0</v>
      </c>
      <c r="K6" s="34">
        <f>SUM(D6:G6)</f>
        <v>1418812.5947659276</v>
      </c>
      <c r="L6" s="34">
        <f>K6+J6</f>
        <v>1418812.5947659276</v>
      </c>
      <c r="M6" s="60" t="s">
        <v>177</v>
      </c>
    </row>
    <row r="7" ht="19" customHeight="1" spans="2:13" x14ac:dyDescent="0.25">
      <c r="B7" s="29">
        <v>2027</v>
      </c>
      <c r="C7" s="32">
        <v>59</v>
      </c>
      <c r="D7" s="36">
        <v>885311.7759781115</v>
      </c>
      <c r="E7" s="36">
        <v>250749.6250115286</v>
      </c>
      <c r="F7" s="36">
        <v>335205.22442120383</v>
      </c>
      <c r="G7" s="36">
        <v>0</v>
      </c>
      <c r="H7" s="36">
        <v>0</v>
      </c>
      <c r="I7" s="36">
        <v>0</v>
      </c>
      <c r="J7" s="36">
        <f>H7-I7</f>
        <v>0</v>
      </c>
      <c r="K7" s="36">
        <f>SUM(D7:G7)</f>
        <v>1471266.6254108439</v>
      </c>
      <c r="L7" s="36">
        <f>K7+J7</f>
        <v>1471266.6254108439</v>
      </c>
      <c r="M7" s="61" t="s">
        <v>177</v>
      </c>
    </row>
    <row r="8" ht="19" customHeight="1" spans="2:13" x14ac:dyDescent="0.25">
      <c r="B8" s="33">
        <v>2028</v>
      </c>
      <c r="C8" s="35">
        <v>60</v>
      </c>
      <c r="D8" s="34">
        <v>918618.8994662206</v>
      </c>
      <c r="E8" s="34">
        <v>271174.38702242554</v>
      </c>
      <c r="F8" s="34">
        <v>338290.3633543166</v>
      </c>
      <c r="G8" s="34">
        <v>0</v>
      </c>
      <c r="H8" s="34">
        <v>0</v>
      </c>
      <c r="I8" s="34">
        <v>0</v>
      </c>
      <c r="J8" s="34">
        <f>H8-I8</f>
        <v>0</v>
      </c>
      <c r="K8" s="34">
        <f>SUM(D8:G8)</f>
        <v>1528083.6498429629</v>
      </c>
      <c r="L8" s="34">
        <f>K8+J8</f>
        <v>1528083.6498429629</v>
      </c>
      <c r="M8" s="60" t="s">
        <v>177</v>
      </c>
    </row>
    <row r="9" ht="19" customHeight="1" spans="2:13" x14ac:dyDescent="0.25">
      <c r="B9" s="29">
        <v>2029</v>
      </c>
      <c r="C9" s="32">
        <v>61</v>
      </c>
      <c r="D9" s="36">
        <v>958168.7233316224</v>
      </c>
      <c r="E9" s="36">
        <v>287438.9872521119</v>
      </c>
      <c r="F9" s="36">
        <v>356760.17225321266</v>
      </c>
      <c r="G9" s="36">
        <v>0</v>
      </c>
      <c r="H9" s="36">
        <v>0</v>
      </c>
      <c r="I9" s="36">
        <v>0</v>
      </c>
      <c r="J9" s="36">
        <f>H9-I9</f>
        <v>0</v>
      </c>
      <c r="K9" s="36">
        <f>SUM(D9:G9)</f>
        <v>1602367.882836947</v>
      </c>
      <c r="L9" s="36">
        <f>K9+J9</f>
        <v>1602367.882836947</v>
      </c>
      <c r="M9" s="61" t="s">
        <v>177</v>
      </c>
    </row>
    <row r="10" ht="19" customHeight="1" spans="2:13" x14ac:dyDescent="0.25">
      <c r="B10" s="33">
        <v>2030</v>
      </c>
      <c r="C10" s="35">
        <v>62</v>
      </c>
      <c r="D10" s="34">
        <v>987233.6244079533</v>
      </c>
      <c r="E10" s="34">
        <v>299027.7825036181</v>
      </c>
      <c r="F10" s="34">
        <v>369890.67997601035</v>
      </c>
      <c r="G10" s="34">
        <v>0</v>
      </c>
      <c r="H10" s="34">
        <v>0</v>
      </c>
      <c r="I10" s="34">
        <v>0</v>
      </c>
      <c r="J10" s="34">
        <f>H10-I10</f>
        <v>0</v>
      </c>
      <c r="K10" s="34">
        <f>SUM(D10:G10)</f>
        <v>1656152.0868875817</v>
      </c>
      <c r="L10" s="34">
        <f>K10+J10</f>
        <v>1656152.0868875817</v>
      </c>
      <c r="M10" s="60" t="s">
        <v>177</v>
      </c>
    </row>
    <row r="11" ht="19" customHeight="1" spans="2:13" x14ac:dyDescent="0.25">
      <c r="B11" s="29">
        <v>2031</v>
      </c>
      <c r="C11" s="32">
        <v>63</v>
      </c>
      <c r="D11" s="36">
        <v>976428.5694769318</v>
      </c>
      <c r="E11" s="36">
        <v>273392.146689769</v>
      </c>
      <c r="F11" s="36">
        <v>364421.11614274984</v>
      </c>
      <c r="G11" s="36">
        <v>0</v>
      </c>
      <c r="H11" s="36">
        <v>0</v>
      </c>
      <c r="I11" s="36">
        <v>0</v>
      </c>
      <c r="J11" s="36">
        <f>H11-I11</f>
        <v>0</v>
      </c>
      <c r="K11" s="36">
        <f>SUM(D11:G11)</f>
        <v>1614241.8323094505</v>
      </c>
      <c r="L11" s="36">
        <f>K11+J11</f>
        <v>1614241.8323094505</v>
      </c>
      <c r="M11" s="61" t="s">
        <v>178</v>
      </c>
    </row>
    <row r="12" ht="19" customHeight="1" spans="2:13" x14ac:dyDescent="0.25">
      <c r="B12" s="33">
        <v>2032</v>
      </c>
      <c r="C12" s="35">
        <v>64</v>
      </c>
      <c r="D12" s="34">
        <v>961169.2584643791</v>
      </c>
      <c r="E12" s="34">
        <v>226398.18105343304</v>
      </c>
      <c r="F12" s="34">
        <v>362060.5652676594</v>
      </c>
      <c r="G12" s="34">
        <v>0</v>
      </c>
      <c r="H12" s="34">
        <v>0</v>
      </c>
      <c r="I12" s="34">
        <v>0</v>
      </c>
      <c r="J12" s="34">
        <f>H12-I12</f>
        <v>0</v>
      </c>
      <c r="K12" s="34">
        <f>SUM(D12:G12)</f>
        <v>1549628.0047854716</v>
      </c>
      <c r="L12" s="34">
        <f>K12+J12</f>
        <v>1549628.0047854716</v>
      </c>
      <c r="M12" s="60" t="s">
        <v>178</v>
      </c>
    </row>
    <row r="13" ht="19" customHeight="1" spans="2:13" x14ac:dyDescent="0.25">
      <c r="B13" s="29">
        <v>2033</v>
      </c>
      <c r="C13" s="32">
        <v>65</v>
      </c>
      <c r="D13" s="36">
        <v>957776.4817098504</v>
      </c>
      <c r="E13" s="36">
        <v>162583.93876340098</v>
      </c>
      <c r="F13" s="36">
        <v>384901.1925994187</v>
      </c>
      <c r="G13" s="36">
        <v>0</v>
      </c>
      <c r="H13" s="36">
        <v>0</v>
      </c>
      <c r="I13" s="36">
        <v>0</v>
      </c>
      <c r="J13" s="36">
        <f>H13-I13</f>
        <v>0</v>
      </c>
      <c r="K13" s="36">
        <f>SUM(D13:G13)</f>
        <v>1505261.61307267</v>
      </c>
      <c r="L13" s="36">
        <f>K13+J13</f>
        <v>1505261.61307267</v>
      </c>
      <c r="M13" s="61" t="s">
        <v>178</v>
      </c>
    </row>
    <row r="14" ht="19" customHeight="1" spans="2:13" x14ac:dyDescent="0.25">
      <c r="B14" s="33">
        <v>2034</v>
      </c>
      <c r="C14" s="35">
        <v>66</v>
      </c>
      <c r="D14" s="34">
        <v>965083.7353119948</v>
      </c>
      <c r="E14" s="34">
        <v>120241.77205791131</v>
      </c>
      <c r="F14" s="34">
        <v>403624.7253756132</v>
      </c>
      <c r="G14" s="34">
        <v>0</v>
      </c>
      <c r="H14" s="34">
        <v>0</v>
      </c>
      <c r="I14" s="34">
        <v>0</v>
      </c>
      <c r="J14" s="34">
        <f>H14-I14</f>
        <v>0</v>
      </c>
      <c r="K14" s="34">
        <f>SUM(D14:G14)</f>
        <v>1488950.2327455194</v>
      </c>
      <c r="L14" s="34">
        <f>K14+J14</f>
        <v>1488950.2327455194</v>
      </c>
      <c r="M14" s="60" t="s">
        <v>178</v>
      </c>
    </row>
    <row r="15" ht="19" customHeight="1" spans="2:13" x14ac:dyDescent="0.25">
      <c r="B15" s="29">
        <v>2035</v>
      </c>
      <c r="C15" s="32">
        <v>67</v>
      </c>
      <c r="D15" s="36">
        <v>989859.1899589743</v>
      </c>
      <c r="E15" s="36">
        <v>63570.43875114894</v>
      </c>
      <c r="F15" s="36">
        <v>418884.16150167125</v>
      </c>
      <c r="G15" s="36">
        <v>0</v>
      </c>
      <c r="H15" s="36">
        <v>0</v>
      </c>
      <c r="I15" s="36">
        <v>0</v>
      </c>
      <c r="J15" s="36">
        <f>H15-I15</f>
        <v>0</v>
      </c>
      <c r="K15" s="36">
        <f>SUM(D15:G15)</f>
        <v>1472313.7902117944</v>
      </c>
      <c r="L15" s="36">
        <f>K15+J15</f>
        <v>1472313.7902117944</v>
      </c>
      <c r="M15" s="61" t="s">
        <v>178</v>
      </c>
    </row>
    <row r="16" ht="19" customHeight="1" spans="2:13" x14ac:dyDescent="0.25">
      <c r="B16" s="33">
        <v>2036</v>
      </c>
      <c r="C16" s="35">
        <v>68</v>
      </c>
      <c r="D16" s="34">
        <v>979937.5330336333</v>
      </c>
      <c r="E16" s="34">
        <v>0</v>
      </c>
      <c r="F16" s="34">
        <v>416816.29492763104</v>
      </c>
      <c r="G16" s="34">
        <v>0</v>
      </c>
      <c r="H16" s="34">
        <v>0</v>
      </c>
      <c r="I16" s="34">
        <v>0</v>
      </c>
      <c r="J16" s="34">
        <f>H16-I16</f>
        <v>0</v>
      </c>
      <c r="K16" s="34">
        <f>SUM(D16:G16)</f>
        <v>1396753.8279612642</v>
      </c>
      <c r="L16" s="34">
        <f>K16+J16</f>
        <v>1396753.8279612642</v>
      </c>
      <c r="M16" s="60" t="s">
        <v>178</v>
      </c>
    </row>
    <row r="17" ht="19" customHeight="1" spans="2:13" x14ac:dyDescent="0.25">
      <c r="B17" s="29">
        <v>2037</v>
      </c>
      <c r="C17" s="32">
        <v>69</v>
      </c>
      <c r="D17" s="36">
        <v>1016681.4253403832</v>
      </c>
      <c r="E17" s="36">
        <v>0</v>
      </c>
      <c r="F17" s="36">
        <v>343859.2080505864</v>
      </c>
      <c r="G17" s="36">
        <v>0</v>
      </c>
      <c r="H17" s="36">
        <v>0</v>
      </c>
      <c r="I17" s="36">
        <v>0</v>
      </c>
      <c r="J17" s="36">
        <f>H17-I17</f>
        <v>0</v>
      </c>
      <c r="K17" s="36">
        <f>SUM(D17:G17)</f>
        <v>1360540.6333909696</v>
      </c>
      <c r="L17" s="36">
        <f>K17+J17</f>
        <v>1360540.6333909696</v>
      </c>
      <c r="M17" s="61" t="s">
        <v>178</v>
      </c>
    </row>
    <row r="18" ht="19" customHeight="1" spans="2:13" x14ac:dyDescent="0.25">
      <c r="B18" s="33">
        <v>2038</v>
      </c>
      <c r="C18" s="35">
        <v>70</v>
      </c>
      <c r="D18" s="34">
        <v>1015826.5590428684</v>
      </c>
      <c r="E18" s="34">
        <v>0</v>
      </c>
      <c r="F18" s="34">
        <v>320393.58204912004</v>
      </c>
      <c r="G18" s="34">
        <v>0</v>
      </c>
      <c r="H18" s="34">
        <v>0</v>
      </c>
      <c r="I18" s="34">
        <v>0</v>
      </c>
      <c r="J18" s="34">
        <f>H18-I18</f>
        <v>0</v>
      </c>
      <c r="K18" s="34">
        <f>SUM(D18:G18)</f>
        <v>1336220.1410919884</v>
      </c>
      <c r="L18" s="34">
        <f>K18+J18</f>
        <v>1336220.1410919884</v>
      </c>
      <c r="M18" s="60" t="s">
        <v>178</v>
      </c>
    </row>
    <row r="19" ht="19" customHeight="1" spans="2:13" x14ac:dyDescent="0.25">
      <c r="B19" s="29">
        <v>2039</v>
      </c>
      <c r="C19" s="32">
        <v>71</v>
      </c>
      <c r="D19" s="36">
        <v>970014.8914575354</v>
      </c>
      <c r="E19" s="36">
        <v>0</v>
      </c>
      <c r="F19" s="36">
        <v>278619.3566557264</v>
      </c>
      <c r="G19" s="36">
        <v>0</v>
      </c>
      <c r="H19" s="36">
        <v>0</v>
      </c>
      <c r="I19" s="36">
        <v>0</v>
      </c>
      <c r="J19" s="36">
        <f>H19-I19</f>
        <v>0</v>
      </c>
      <c r="K19" s="36">
        <f>SUM(D19:G19)</f>
        <v>1248634.2481132618</v>
      </c>
      <c r="L19" s="36">
        <f>K19+J19</f>
        <v>1248634.2481132618</v>
      </c>
      <c r="M19" s="61" t="s">
        <v>178</v>
      </c>
    </row>
    <row r="20" ht="19" customHeight="1" spans="2:13" x14ac:dyDescent="0.25">
      <c r="B20" s="33">
        <v>2040</v>
      </c>
      <c r="C20" s="35">
        <v>72</v>
      </c>
      <c r="D20" s="34">
        <v>956140.5333701352</v>
      </c>
      <c r="E20" s="34">
        <v>0</v>
      </c>
      <c r="F20" s="34">
        <v>287341.0504081073</v>
      </c>
      <c r="G20" s="34">
        <v>0</v>
      </c>
      <c r="H20" s="34">
        <v>0</v>
      </c>
      <c r="I20" s="34">
        <v>0</v>
      </c>
      <c r="J20" s="34">
        <f>H20-I20</f>
        <v>0</v>
      </c>
      <c r="K20" s="34">
        <f>SUM(D20:G20)</f>
        <v>1243481.5837782426</v>
      </c>
      <c r="L20" s="34">
        <f>K20+J20</f>
        <v>1243481.5837782426</v>
      </c>
      <c r="M20" s="60" t="s">
        <v>178</v>
      </c>
    </row>
    <row r="21" ht="19" customHeight="1" spans="2:13" x14ac:dyDescent="0.25">
      <c r="B21" s="29">
        <v>2041</v>
      </c>
      <c r="C21" s="32">
        <v>73</v>
      </c>
      <c r="D21" s="36">
        <v>949674.6790973598</v>
      </c>
      <c r="E21" s="36">
        <v>0</v>
      </c>
      <c r="F21" s="36">
        <v>293732.37653592357</v>
      </c>
      <c r="G21" s="36">
        <v>0</v>
      </c>
      <c r="H21" s="36">
        <v>0</v>
      </c>
      <c r="I21" s="36">
        <v>0</v>
      </c>
      <c r="J21" s="36">
        <f>H21-I21</f>
        <v>0</v>
      </c>
      <c r="K21" s="36">
        <f>SUM(D21:G21)</f>
        <v>1243407.0556332832</v>
      </c>
      <c r="L21" s="36">
        <f>K21+J21</f>
        <v>1243407.0556332832</v>
      </c>
      <c r="M21" s="61" t="s">
        <v>178</v>
      </c>
    </row>
    <row r="22" ht="19" customHeight="1" spans="2:13" x14ac:dyDescent="0.25">
      <c r="B22" s="33">
        <v>2042</v>
      </c>
      <c r="C22" s="35">
        <v>74</v>
      </c>
      <c r="D22" s="34">
        <v>971407.9413404164</v>
      </c>
      <c r="E22" s="34">
        <v>0</v>
      </c>
      <c r="F22" s="34">
        <v>61632.84181909678</v>
      </c>
      <c r="G22" s="34">
        <v>0</v>
      </c>
      <c r="H22" s="34">
        <v>0</v>
      </c>
      <c r="I22" s="34">
        <v>0</v>
      </c>
      <c r="J22" s="34">
        <f>H22-I22</f>
        <v>0</v>
      </c>
      <c r="K22" s="34">
        <f>SUM(D22:G22)</f>
        <v>1033040.7831595133</v>
      </c>
      <c r="L22" s="34">
        <f>K22+J22</f>
        <v>1033040.7831595133</v>
      </c>
      <c r="M22" s="60" t="s">
        <v>178</v>
      </c>
    </row>
    <row r="23" ht="19" customHeight="1" spans="2:13" x14ac:dyDescent="0.25">
      <c r="B23" s="29">
        <v>2043</v>
      </c>
      <c r="C23" s="32">
        <v>75</v>
      </c>
      <c r="D23" s="36">
        <v>893827.2668613475</v>
      </c>
      <c r="E23" s="36">
        <v>0</v>
      </c>
      <c r="F23" s="36">
        <v>291331.51256858546</v>
      </c>
      <c r="G23" s="36">
        <v>0</v>
      </c>
      <c r="H23" s="36">
        <v>0</v>
      </c>
      <c r="I23" s="36">
        <v>0</v>
      </c>
      <c r="J23" s="36">
        <f>H23-I23</f>
        <v>0</v>
      </c>
      <c r="K23" s="36">
        <f>SUM(D23:G23)</f>
        <v>1185158.779429933</v>
      </c>
      <c r="L23" s="36">
        <f>K23+J23</f>
        <v>1185158.779429933</v>
      </c>
      <c r="M23" s="61" t="s">
        <v>178</v>
      </c>
    </row>
    <row r="24" ht="19" customHeight="1" spans="2:13" x14ac:dyDescent="0.25">
      <c r="B24" s="33">
        <v>2044</v>
      </c>
      <c r="C24" s="35">
        <v>76</v>
      </c>
      <c r="D24" s="34">
        <v>852415.2327111075</v>
      </c>
      <c r="E24" s="34">
        <v>0</v>
      </c>
      <c r="F24" s="34">
        <v>344289.19562226965</v>
      </c>
      <c r="G24" s="34">
        <v>0</v>
      </c>
      <c r="H24" s="34">
        <v>0</v>
      </c>
      <c r="I24" s="34">
        <v>0</v>
      </c>
      <c r="J24" s="34">
        <f>H24-I24</f>
        <v>0</v>
      </c>
      <c r="K24" s="34">
        <f>SUM(D24:G24)</f>
        <v>1196704.428333377</v>
      </c>
      <c r="L24" s="34">
        <f>K24+J24</f>
        <v>1196704.428333377</v>
      </c>
      <c r="M24" s="60" t="s">
        <v>178</v>
      </c>
    </row>
    <row r="25" ht="19" customHeight="1" spans="2:13" x14ac:dyDescent="0.25">
      <c r="B25" s="29">
        <v>2045</v>
      </c>
      <c r="C25" s="32">
        <v>77</v>
      </c>
      <c r="D25" s="36">
        <v>866801.7870274574</v>
      </c>
      <c r="E25" s="36">
        <v>0</v>
      </c>
      <c r="F25" s="36">
        <v>127802.2455558902</v>
      </c>
      <c r="G25" s="36">
        <v>0</v>
      </c>
      <c r="H25" s="36">
        <v>0</v>
      </c>
      <c r="I25" s="36">
        <v>0</v>
      </c>
      <c r="J25" s="36">
        <f>H25-I25</f>
        <v>0</v>
      </c>
      <c r="K25" s="36">
        <f>SUM(D25:G25)</f>
        <v>994604.0325833475</v>
      </c>
      <c r="L25" s="36">
        <f>K25+J25</f>
        <v>994604.0325833475</v>
      </c>
      <c r="M25" s="61" t="s">
        <v>178</v>
      </c>
    </row>
    <row r="26" ht="19" customHeight="1" spans="2:13" x14ac:dyDescent="0.25">
      <c r="B26" s="33">
        <v>2046</v>
      </c>
      <c r="C26" s="35">
        <v>78</v>
      </c>
      <c r="D26" s="34">
        <v>860698.974503834</v>
      </c>
      <c r="E26" s="34">
        <v>0</v>
      </c>
      <c r="F26" s="34">
        <v>191083.63155807325</v>
      </c>
      <c r="G26" s="34">
        <v>0</v>
      </c>
      <c r="H26" s="34">
        <v>0</v>
      </c>
      <c r="I26" s="34">
        <v>0</v>
      </c>
      <c r="J26" s="34">
        <f>H26-I26</f>
        <v>0</v>
      </c>
      <c r="K26" s="34">
        <f>SUM(D26:G26)</f>
        <v>1051782.6060619073</v>
      </c>
      <c r="L26" s="34">
        <f>K26+J26</f>
        <v>1051782.6060619073</v>
      </c>
      <c r="M26" s="60" t="s">
        <v>178</v>
      </c>
    </row>
    <row r="27" ht="19" customHeight="1" spans="2:13" x14ac:dyDescent="0.25">
      <c r="B27" s="29">
        <v>2047</v>
      </c>
      <c r="C27" s="32">
        <v>79</v>
      </c>
      <c r="D27" s="36">
        <v>806414.4627571766</v>
      </c>
      <c r="E27" s="36">
        <v>0</v>
      </c>
      <c r="F27" s="36">
        <v>420893.204148366</v>
      </c>
      <c r="G27" s="36">
        <v>0</v>
      </c>
      <c r="H27" s="36">
        <v>0</v>
      </c>
      <c r="I27" s="36">
        <v>0</v>
      </c>
      <c r="J27" s="36">
        <f>H27-I27</f>
        <v>0</v>
      </c>
      <c r="K27" s="36">
        <f>SUM(D27:G27)</f>
        <v>1227307.6669055426</v>
      </c>
      <c r="L27" s="36">
        <f>K27+J27</f>
        <v>1227307.6669055426</v>
      </c>
      <c r="M27" s="61" t="s">
        <v>178</v>
      </c>
    </row>
    <row r="28" ht="19" customHeight="1" spans="2:13" x14ac:dyDescent="0.25">
      <c r="B28" s="33">
        <v>2048</v>
      </c>
      <c r="C28" s="35">
        <v>80</v>
      </c>
      <c r="D28" s="34">
        <v>850134.9050130033</v>
      </c>
      <c r="E28" s="34">
        <v>0</v>
      </c>
      <c r="F28" s="34">
        <v>0</v>
      </c>
      <c r="G28" s="34">
        <v>0</v>
      </c>
      <c r="H28" s="34">
        <v>0</v>
      </c>
      <c r="I28" s="34">
        <v>0</v>
      </c>
      <c r="J28" s="34">
        <f>H28-I28</f>
        <v>0</v>
      </c>
      <c r="K28" s="34">
        <f>SUM(D28:G28)</f>
        <v>850134.9050130033</v>
      </c>
      <c r="L28" s="34">
        <f>K28+J28</f>
        <v>850134.9050130033</v>
      </c>
      <c r="M28" s="60" t="s">
        <v>178</v>
      </c>
    </row>
    <row r="29" ht="19" customHeight="1" spans="2:13" x14ac:dyDescent="0.25">
      <c r="B29" s="29">
        <v>2049</v>
      </c>
      <c r="C29" s="32">
        <v>81</v>
      </c>
      <c r="D29" s="36">
        <v>762137.2626124637</v>
      </c>
      <c r="E29" s="36">
        <v>0</v>
      </c>
      <c r="F29" s="36">
        <v>376633.35826633155</v>
      </c>
      <c r="G29" s="36">
        <v>0</v>
      </c>
      <c r="H29" s="36">
        <v>0</v>
      </c>
      <c r="I29" s="36">
        <v>0</v>
      </c>
      <c r="J29" s="36">
        <f>H29-I29</f>
        <v>0</v>
      </c>
      <c r="K29" s="36">
        <f>SUM(D29:G29)</f>
        <v>1138770.6208787952</v>
      </c>
      <c r="L29" s="36">
        <f>K29+J29</f>
        <v>1138770.6208787952</v>
      </c>
      <c r="M29" s="61" t="s">
        <v>178</v>
      </c>
    </row>
    <row r="30" ht="19" customHeight="1" spans="2:13" x14ac:dyDescent="0.25">
      <c r="B30" s="33">
        <v>2050</v>
      </c>
      <c r="C30" s="35">
        <v>82</v>
      </c>
      <c r="D30" s="34">
        <v>769379.1583777302</v>
      </c>
      <c r="E30" s="34">
        <v>0</v>
      </c>
      <c r="F30" s="34">
        <v>123501.05665673109</v>
      </c>
      <c r="G30" s="34">
        <v>0</v>
      </c>
      <c r="H30" s="34">
        <v>0</v>
      </c>
      <c r="I30" s="34">
        <v>0</v>
      </c>
      <c r="J30" s="34">
        <f>H30-I30</f>
        <v>0</v>
      </c>
      <c r="K30" s="34">
        <f>SUM(D30:G30)</f>
        <v>892880.2150344612</v>
      </c>
      <c r="L30" s="34">
        <f>K30+J30</f>
        <v>892880.2150344612</v>
      </c>
      <c r="M30" s="60" t="s">
        <v>178</v>
      </c>
    </row>
    <row r="31" ht="19" customHeight="1" spans="2:13" x14ac:dyDescent="0.25">
      <c r="B31" s="29">
        <v>2051</v>
      </c>
      <c r="C31" s="32">
        <v>83</v>
      </c>
      <c r="D31" s="36">
        <v>744192.5836775461</v>
      </c>
      <c r="E31" s="36">
        <v>0</v>
      </c>
      <c r="F31" s="36">
        <v>102978.93886603805</v>
      </c>
      <c r="G31" s="36">
        <v>0</v>
      </c>
      <c r="H31" s="36">
        <v>0</v>
      </c>
      <c r="I31" s="36">
        <v>0</v>
      </c>
      <c r="J31" s="36">
        <f>H31-I31</f>
        <v>0</v>
      </c>
      <c r="K31" s="36">
        <f>SUM(D31:G31)</f>
        <v>847171.5225435842</v>
      </c>
      <c r="L31" s="36">
        <f>K31+J31</f>
        <v>847171.5225435842</v>
      </c>
      <c r="M31" s="61" t="s">
        <v>178</v>
      </c>
    </row>
    <row r="32" ht="19" customHeight="1" spans="2:13" x14ac:dyDescent="0.25">
      <c r="B32" s="33">
        <v>2052</v>
      </c>
      <c r="C32" s="35">
        <v>84</v>
      </c>
      <c r="D32" s="34">
        <v>661864.1623915955</v>
      </c>
      <c r="E32" s="34">
        <v>0</v>
      </c>
      <c r="F32" s="34">
        <v>0</v>
      </c>
      <c r="G32" s="34">
        <v>0</v>
      </c>
      <c r="H32" s="34">
        <v>0</v>
      </c>
      <c r="I32" s="34">
        <v>0</v>
      </c>
      <c r="J32" s="34">
        <f>H32-I32</f>
        <v>0</v>
      </c>
      <c r="K32" s="34">
        <f>SUM(D32:G32)</f>
        <v>661864.1623915955</v>
      </c>
      <c r="L32" s="34">
        <f>K32+J32</f>
        <v>661864.1623915955</v>
      </c>
      <c r="M32" s="60" t="s">
        <v>178</v>
      </c>
    </row>
    <row r="33" ht="19" customHeight="1" spans="2:13" x14ac:dyDescent="0.25">
      <c r="B33" s="29">
        <v>2053</v>
      </c>
      <c r="C33" s="32">
        <v>85</v>
      </c>
      <c r="D33" s="36">
        <v>690537.0918064852</v>
      </c>
      <c r="E33" s="36">
        <v>0</v>
      </c>
      <c r="F33" s="36">
        <v>81273.39470711495</v>
      </c>
      <c r="G33" s="36">
        <v>0</v>
      </c>
      <c r="H33" s="36">
        <v>0</v>
      </c>
      <c r="I33" s="36">
        <v>0</v>
      </c>
      <c r="J33" s="36">
        <f>H33-I33</f>
        <v>0</v>
      </c>
      <c r="K33" s="36">
        <f>SUM(D33:G33)</f>
        <v>771810.4865136001</v>
      </c>
      <c r="L33" s="36">
        <f>K33+J33</f>
        <v>771810.4865136001</v>
      </c>
      <c r="M33" s="61" t="s">
        <v>178</v>
      </c>
    </row>
    <row r="34" ht="19" customHeight="1" spans="2:13" x14ac:dyDescent="0.25">
      <c r="B34" s="33">
        <v>2054</v>
      </c>
      <c r="C34" s="35">
        <v>86</v>
      </c>
      <c r="D34" s="34">
        <v>550912.8577619704</v>
      </c>
      <c r="E34" s="34">
        <v>0</v>
      </c>
      <c r="F34" s="34">
        <v>524935.1431141275</v>
      </c>
      <c r="G34" s="34">
        <v>0</v>
      </c>
      <c r="H34" s="34">
        <v>0</v>
      </c>
      <c r="I34" s="34">
        <v>0</v>
      </c>
      <c r="J34" s="34">
        <f>H34-I34</f>
        <v>0</v>
      </c>
      <c r="K34" s="34">
        <f>SUM(D34:G34)</f>
        <v>1075848.000876098</v>
      </c>
      <c r="L34" s="34">
        <f>K34+J34</f>
        <v>1075848.000876098</v>
      </c>
      <c r="M34" s="60" t="s">
        <v>178</v>
      </c>
    </row>
    <row r="35" ht="19" customHeight="1" spans="2:13" x14ac:dyDescent="0.25">
      <c r="B35" s="29">
        <v>2055</v>
      </c>
      <c r="C35" s="32">
        <v>87</v>
      </c>
      <c r="D35" s="36">
        <v>538432.6546610162</v>
      </c>
      <c r="E35" s="36">
        <v>0</v>
      </c>
      <c r="F35" s="36">
        <v>384663.57481234125</v>
      </c>
      <c r="G35" s="36">
        <v>0</v>
      </c>
      <c r="H35" s="36">
        <v>0</v>
      </c>
      <c r="I35" s="36">
        <v>0</v>
      </c>
      <c r="J35" s="36">
        <f>H35-I35</f>
        <v>0</v>
      </c>
      <c r="K35" s="36">
        <f>SUM(D35:G35)</f>
        <v>923096.2294733574</v>
      </c>
      <c r="L35" s="36">
        <f>K35+J35</f>
        <v>923096.2294733574</v>
      </c>
      <c r="M35" s="61" t="s">
        <v>178</v>
      </c>
    </row>
    <row r="36" ht="19" customHeight="1" spans="2:13" x14ac:dyDescent="0.25">
      <c r="B36" s="33">
        <v>2056</v>
      </c>
      <c r="C36" s="35">
        <v>88</v>
      </c>
      <c r="D36" s="34">
        <v>550648.1719969646</v>
      </c>
      <c r="E36" s="34">
        <v>0</v>
      </c>
      <c r="F36" s="34">
        <v>17062.604564884565</v>
      </c>
      <c r="G36" s="34">
        <v>0</v>
      </c>
      <c r="H36" s="34">
        <v>0</v>
      </c>
      <c r="I36" s="34">
        <v>0</v>
      </c>
      <c r="J36" s="34">
        <f>H36-I36</f>
        <v>0</v>
      </c>
      <c r="K36" s="34">
        <f>SUM(D36:G36)</f>
        <v>567710.7765618492</v>
      </c>
      <c r="L36" s="34">
        <f>K36+J36</f>
        <v>567710.7765618492</v>
      </c>
      <c r="M36" s="60" t="s">
        <v>178</v>
      </c>
    </row>
    <row r="37" ht="19" customHeight="1" spans="2:13" x14ac:dyDescent="0.25">
      <c r="B37" s="29">
        <v>2057</v>
      </c>
      <c r="C37" s="32">
        <v>89</v>
      </c>
      <c r="D37" s="36">
        <v>466141.3710611478</v>
      </c>
      <c r="E37" s="36">
        <v>0</v>
      </c>
      <c r="F37" s="36">
        <v>228233.583305347</v>
      </c>
      <c r="G37" s="36">
        <v>0</v>
      </c>
      <c r="H37" s="36">
        <v>0</v>
      </c>
      <c r="I37" s="36">
        <v>0</v>
      </c>
      <c r="J37" s="36">
        <f>H37-I37</f>
        <v>0</v>
      </c>
      <c r="K37" s="36">
        <f>SUM(D37:G37)</f>
        <v>694374.9543664948</v>
      </c>
      <c r="L37" s="36">
        <f>K37+J37</f>
        <v>694374.9543664948</v>
      </c>
      <c r="M37" s="61" t="s">
        <v>178</v>
      </c>
    </row>
    <row r="38" ht="19" customHeight="1" spans="2:13" x14ac:dyDescent="0.25">
      <c r="B38" s="33">
        <v>2058</v>
      </c>
      <c r="C38" s="35">
        <v>90</v>
      </c>
      <c r="D38" s="34">
        <v>436065.33210840315</v>
      </c>
      <c r="E38" s="34">
        <v>0</v>
      </c>
      <c r="F38" s="34">
        <v>315748.7892503931</v>
      </c>
      <c r="G38" s="34">
        <v>0</v>
      </c>
      <c r="H38" s="34">
        <v>0</v>
      </c>
      <c r="I38" s="34">
        <v>0</v>
      </c>
      <c r="J38" s="34">
        <f>H38-I38</f>
        <v>0</v>
      </c>
      <c r="K38" s="34">
        <f>SUM(D38:G38)</f>
        <v>751814.1213587963</v>
      </c>
      <c r="L38" s="34">
        <f>K38+J38</f>
        <v>751814.1213587963</v>
      </c>
      <c r="M38" s="60" t="s">
        <v>178</v>
      </c>
    </row>
    <row r="39" ht="19" customHeight="1" spans="2:13" x14ac:dyDescent="0.25">
      <c r="B39" s="29">
        <v>2059</v>
      </c>
      <c r="C39" s="32">
        <v>91</v>
      </c>
      <c r="D39" s="36">
        <v>379894.0423271611</v>
      </c>
      <c r="E39" s="36">
        <v>0</v>
      </c>
      <c r="F39" s="36">
        <v>246100.05391828073</v>
      </c>
      <c r="G39" s="36">
        <v>0</v>
      </c>
      <c r="H39" s="36">
        <v>0</v>
      </c>
      <c r="I39" s="36">
        <v>0</v>
      </c>
      <c r="J39" s="36">
        <f>H39-I39</f>
        <v>0</v>
      </c>
      <c r="K39" s="36">
        <f>SUM(D39:G39)</f>
        <v>625994.0962454418</v>
      </c>
      <c r="L39" s="36">
        <f>K39+J39</f>
        <v>625994.0962454418</v>
      </c>
      <c r="M39" s="61" t="s">
        <v>178</v>
      </c>
    </row>
    <row r="40" ht="19" customHeight="1" spans="2:13" x14ac:dyDescent="0.25">
      <c r="B40" s="33">
        <v>2060</v>
      </c>
      <c r="C40" s="35">
        <v>92</v>
      </c>
      <c r="D40" s="34">
        <v>50198.032487461816</v>
      </c>
      <c r="E40" s="34">
        <v>0</v>
      </c>
      <c r="F40" s="34">
        <v>0</v>
      </c>
      <c r="G40" s="34">
        <v>0</v>
      </c>
      <c r="H40" s="34">
        <v>0</v>
      </c>
      <c r="I40" s="34">
        <v>0</v>
      </c>
      <c r="J40" s="34">
        <f>H40-I40</f>
        <v>0</v>
      </c>
      <c r="K40" s="34">
        <f>SUM(D40:G40)</f>
        <v>50198.032487461816</v>
      </c>
      <c r="L40" s="34">
        <f>K40+J40</f>
        <v>50198.032487461816</v>
      </c>
      <c r="M40" s="60" t="s">
        <v>178</v>
      </c>
    </row>
    <row r="43" spans="2:14" x14ac:dyDescent="0.25">
      <c r="B43" s="40" t="s">
        <v>67</v>
      </c>
      <c r="C43" s="40"/>
      <c r="D43" s="40"/>
      <c r="E43" s="40"/>
      <c r="F43" s="40"/>
      <c r="G43" s="40"/>
      <c r="H43" s="40"/>
      <c r="I43" s="40"/>
      <c r="J43" s="40"/>
      <c r="K43" s="40"/>
      <c r="L43" s="40"/>
      <c r="M43" s="40"/>
      <c r="N43" s="40"/>
    </row>
  </sheetData>
  <autoFilter ref="B5:M5"/>
  <mergeCells count="3">
    <mergeCell ref="B2:N2"/>
    <mergeCell ref="B3:N3"/>
    <mergeCell ref="B43:N43"/>
  </mergeCells>
  <pageSetup paperSize="9" orientation="landscape" fitToWidth="1" fitToHeight="0"/>
  <headerFooter>
    <oddFooter>&amp;L&amp;8BuildFi Technologies inc.&amp;C&amp;8Page &amp;P / &amp;N&amp;R&amp;8&amp;D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43"/>
  <sheetViews>
    <sheetView workbookViewId="0">
      <pane ySplit="5" topLeftCell="A6" activePane="bottomLeft" state="frozen"/>
      <selection pane="bottomLeft"/>
    </sheetView>
  </sheetViews>
  <sheetFormatPr defaultRowHeight="15" outlineLevelRow="0" outlineLevelCol="0" x14ac:dyDescent="55"/>
  <cols>
    <col min="1" max="1" width="3" customWidth="1"/>
    <col min="2" max="2" width="10" customWidth="1"/>
    <col min="3" max="3" width="8" customWidth="1"/>
    <col min="4" max="4" width="16" customWidth="1"/>
    <col min="5" max="8" width="15" customWidth="1"/>
    <col min="9" max="10" width="16" customWidth="1"/>
    <col min="11" max="11" width="15" customWidth="1"/>
    <col min="12" max="12" width="12" customWidth="1"/>
    <col min="13" max="13" width="16" customWidth="1"/>
  </cols>
  <sheetData>
    <row r="1" ht="8" customHeight="1" x14ac:dyDescent="0.25"/>
    <row r="2" ht="28" customHeight="1" spans="2:14" x14ac:dyDescent="0.25">
      <c r="B2" s="41" t="s">
        <v>179</v>
      </c>
      <c r="C2" s="41"/>
      <c r="D2" s="41"/>
      <c r="E2" s="41"/>
      <c r="F2" s="41"/>
      <c r="G2" s="41"/>
      <c r="H2" s="41"/>
      <c r="I2" s="41"/>
      <c r="J2" s="41"/>
      <c r="K2" s="41"/>
      <c r="L2" s="41"/>
      <c r="M2" s="41"/>
      <c r="N2" s="41"/>
    </row>
    <row r="3" ht="16" customHeight="1" spans="2:14" x14ac:dyDescent="0.25">
      <c r="B3" s="42" t="s">
        <v>180</v>
      </c>
      <c r="C3" s="42"/>
      <c r="D3" s="42"/>
      <c r="E3" s="42"/>
      <c r="F3" s="42"/>
      <c r="G3" s="42"/>
      <c r="H3" s="42"/>
      <c r="I3" s="42"/>
      <c r="J3" s="42"/>
      <c r="K3" s="42"/>
      <c r="L3" s="42"/>
      <c r="M3" s="42"/>
      <c r="N3" s="42"/>
    </row>
    <row r="5" ht="30" customHeight="1" spans="2:13" x14ac:dyDescent="0.25">
      <c r="B5" s="27" t="s">
        <v>149</v>
      </c>
      <c r="C5" s="28" t="s">
        <v>71</v>
      </c>
      <c r="D5" s="28" t="s">
        <v>181</v>
      </c>
      <c r="E5" s="28" t="s">
        <v>105</v>
      </c>
      <c r="F5" s="28" t="s">
        <v>108</v>
      </c>
      <c r="G5" s="28" t="s">
        <v>182</v>
      </c>
      <c r="H5" s="28" t="s">
        <v>183</v>
      </c>
      <c r="I5" s="28" t="s">
        <v>184</v>
      </c>
      <c r="J5" s="28" t="s">
        <v>185</v>
      </c>
      <c r="K5" s="28" t="s">
        <v>151</v>
      </c>
      <c r="L5" s="28" t="s">
        <v>186</v>
      </c>
      <c r="M5" s="28" t="s">
        <v>187</v>
      </c>
    </row>
    <row r="6" ht="19" customHeight="1" spans="2:13" x14ac:dyDescent="0.25">
      <c r="B6" s="33">
        <v>2026</v>
      </c>
      <c r="C6" s="35">
        <v>58</v>
      </c>
      <c r="D6" s="34">
        <v>165000</v>
      </c>
      <c r="E6" s="34">
        <v>0</v>
      </c>
      <c r="F6" s="34">
        <v>0</v>
      </c>
      <c r="G6" s="34">
        <v>0</v>
      </c>
      <c r="H6" s="34">
        <v>0</v>
      </c>
      <c r="I6" s="34">
        <v>0</v>
      </c>
      <c r="J6" s="34">
        <v>0</v>
      </c>
      <c r="K6" s="34">
        <v>98514.8325</v>
      </c>
      <c r="L6" s="51">
        <f>IFERROR(K6/M6,0)</f>
        <v>0.5970595909090909</v>
      </c>
      <c r="M6" s="34">
        <v>165000</v>
      </c>
    </row>
    <row r="7" ht="19" customHeight="1" spans="2:13" x14ac:dyDescent="0.25">
      <c r="B7" s="29">
        <v>2027</v>
      </c>
      <c r="C7" s="32">
        <v>59</v>
      </c>
      <c r="D7" s="36">
        <v>168464.99999999997</v>
      </c>
      <c r="E7" s="36">
        <v>0</v>
      </c>
      <c r="F7" s="36">
        <v>0</v>
      </c>
      <c r="G7" s="36">
        <v>0</v>
      </c>
      <c r="H7" s="36">
        <v>0</v>
      </c>
      <c r="I7" s="36">
        <v>0</v>
      </c>
      <c r="J7" s="36">
        <v>0</v>
      </c>
      <c r="K7" s="36">
        <v>100583.6439825</v>
      </c>
      <c r="L7" s="38">
        <f>IFERROR(K7/M7,0)</f>
        <v>0.597059590909091</v>
      </c>
      <c r="M7" s="36">
        <v>168464.99999999997</v>
      </c>
    </row>
    <row r="8" ht="19" customHeight="1" spans="2:13" x14ac:dyDescent="0.25">
      <c r="B8" s="33">
        <v>2028</v>
      </c>
      <c r="C8" s="35">
        <v>60</v>
      </c>
      <c r="D8" s="34">
        <v>172002.76499999996</v>
      </c>
      <c r="E8" s="34">
        <v>0</v>
      </c>
      <c r="F8" s="34">
        <v>0</v>
      </c>
      <c r="G8" s="34">
        <v>0</v>
      </c>
      <c r="H8" s="34">
        <v>0</v>
      </c>
      <c r="I8" s="34">
        <v>0</v>
      </c>
      <c r="J8" s="34">
        <v>0</v>
      </c>
      <c r="K8" s="34">
        <v>102695.90050613249</v>
      </c>
      <c r="L8" s="51">
        <f>IFERROR(K8/M8,0)</f>
        <v>0.597059590909091</v>
      </c>
      <c r="M8" s="34">
        <v>172002.76499999996</v>
      </c>
    </row>
    <row r="9" ht="19" customHeight="1" spans="2:13" x14ac:dyDescent="0.25">
      <c r="B9" s="29">
        <v>2029</v>
      </c>
      <c r="C9" s="32">
        <v>61</v>
      </c>
      <c r="D9" s="36">
        <v>175614.82306499995</v>
      </c>
      <c r="E9" s="36">
        <v>0</v>
      </c>
      <c r="F9" s="36">
        <v>0</v>
      </c>
      <c r="G9" s="36">
        <v>0</v>
      </c>
      <c r="H9" s="36">
        <v>0</v>
      </c>
      <c r="I9" s="36">
        <v>0</v>
      </c>
      <c r="J9" s="36">
        <v>0</v>
      </c>
      <c r="K9" s="36">
        <v>104852.51441676125</v>
      </c>
      <c r="L9" s="38">
        <f>IFERROR(K9/M9,0)</f>
        <v>0.5970595909090909</v>
      </c>
      <c r="M9" s="36">
        <v>175614.82306499995</v>
      </c>
    </row>
    <row r="10" ht="19" customHeight="1" spans="2:13" x14ac:dyDescent="0.25">
      <c r="B10" s="33">
        <v>2030</v>
      </c>
      <c r="C10" s="35">
        <v>62</v>
      </c>
      <c r="D10" s="34">
        <v>179302.73434936494</v>
      </c>
      <c r="E10" s="34">
        <v>0</v>
      </c>
      <c r="F10" s="34">
        <v>0</v>
      </c>
      <c r="G10" s="34">
        <v>0</v>
      </c>
      <c r="H10" s="34">
        <v>0</v>
      </c>
      <c r="I10" s="34">
        <v>0</v>
      </c>
      <c r="J10" s="34">
        <v>0</v>
      </c>
      <c r="K10" s="34">
        <v>107054.41721951323</v>
      </c>
      <c r="L10" s="51">
        <f>IFERROR(K10/M10,0)</f>
        <v>0.5970595909090909</v>
      </c>
      <c r="M10" s="34">
        <v>179302.73434936494</v>
      </c>
    </row>
    <row r="11" ht="19" customHeight="1" spans="2:13" x14ac:dyDescent="0.25">
      <c r="B11" s="29">
        <v>2031</v>
      </c>
      <c r="C11" s="32">
        <v>63</v>
      </c>
      <c r="D11" s="36">
        <v>0</v>
      </c>
      <c r="E11" s="36">
        <v>0</v>
      </c>
      <c r="F11" s="36">
        <v>0</v>
      </c>
      <c r="G11" s="36">
        <v>0</v>
      </c>
      <c r="H11" s="36">
        <v>21600</v>
      </c>
      <c r="I11" s="36">
        <v>106206.86324747167</v>
      </c>
      <c r="J11" s="36">
        <v>127806.86324747167</v>
      </c>
      <c r="K11" s="36">
        <v>34905.32587444378</v>
      </c>
      <c r="L11" s="38">
        <f>IFERROR(K11/M11,0)</f>
        <v>0.27310994877369615</v>
      </c>
      <c r="M11" s="36">
        <v>127806.86324747167</v>
      </c>
    </row>
    <row r="12" ht="19" customHeight="1" spans="2:13" x14ac:dyDescent="0.25">
      <c r="B12" s="33">
        <v>2032</v>
      </c>
      <c r="C12" s="35">
        <v>64</v>
      </c>
      <c r="D12" s="34">
        <v>0</v>
      </c>
      <c r="E12" s="34">
        <v>0</v>
      </c>
      <c r="F12" s="34">
        <v>0</v>
      </c>
      <c r="G12" s="34">
        <v>0</v>
      </c>
      <c r="H12" s="34">
        <v>21600</v>
      </c>
      <c r="I12" s="34">
        <v>113607.41637091836</v>
      </c>
      <c r="J12" s="34">
        <v>135207.41637091836</v>
      </c>
      <c r="K12" s="34">
        <v>37697.942669837415</v>
      </c>
      <c r="L12" s="51">
        <f>IFERROR(K12/M12,0)</f>
        <v>0.2788156425267352</v>
      </c>
      <c r="M12" s="34">
        <v>135207.41637091836</v>
      </c>
    </row>
    <row r="13" ht="19" customHeight="1" spans="2:13" x14ac:dyDescent="0.25">
      <c r="B13" s="29">
        <v>2033</v>
      </c>
      <c r="C13" s="32">
        <v>65</v>
      </c>
      <c r="D13" s="36">
        <v>0</v>
      </c>
      <c r="E13" s="36">
        <v>19567.942836979022</v>
      </c>
      <c r="F13" s="36">
        <v>10302.597941466958</v>
      </c>
      <c r="G13" s="36">
        <v>0</v>
      </c>
      <c r="H13" s="36">
        <v>21600</v>
      </c>
      <c r="I13" s="36">
        <v>81701.26365437044</v>
      </c>
      <c r="J13" s="36">
        <v>133171.80443281643</v>
      </c>
      <c r="K13" s="36">
        <v>34987.46885507094</v>
      </c>
      <c r="L13" s="38">
        <f>IFERROR(K13/M13,0)</f>
        <v>0.2627242981656954</v>
      </c>
      <c r="M13" s="36">
        <v>133171.80443281643</v>
      </c>
    </row>
    <row r="14" ht="19" customHeight="1" spans="2:13" x14ac:dyDescent="0.25">
      <c r="B14" s="33">
        <v>2034</v>
      </c>
      <c r="C14" s="35">
        <v>66</v>
      </c>
      <c r="D14" s="34">
        <v>0</v>
      </c>
      <c r="E14" s="34">
        <v>20285.596640622727</v>
      </c>
      <c r="F14" s="34">
        <v>10518.952498237762</v>
      </c>
      <c r="G14" s="34">
        <v>0</v>
      </c>
      <c r="H14" s="34">
        <v>21600</v>
      </c>
      <c r="I14" s="34">
        <v>90261.68137248157</v>
      </c>
      <c r="J14" s="34">
        <v>142666.23051134206</v>
      </c>
      <c r="K14" s="34">
        <v>38680.550878617185</v>
      </c>
      <c r="L14" s="51">
        <f>IFERROR(K14/M14,0)</f>
        <v>0.27112618550289697</v>
      </c>
      <c r="M14" s="34">
        <v>142666.23051134206</v>
      </c>
    </row>
    <row r="15" ht="19" customHeight="1" spans="2:13" x14ac:dyDescent="0.25">
      <c r="B15" s="29">
        <v>2035</v>
      </c>
      <c r="C15" s="32">
        <v>67</v>
      </c>
      <c r="D15" s="36">
        <v>0</v>
      </c>
      <c r="E15" s="36">
        <v>20387.024623825837</v>
      </c>
      <c r="F15" s="36">
        <v>10739.850500700755</v>
      </c>
      <c r="G15" s="36">
        <v>0</v>
      </c>
      <c r="H15" s="36">
        <v>21600</v>
      </c>
      <c r="I15" s="36">
        <v>80573.48865754469</v>
      </c>
      <c r="J15" s="36">
        <v>133300.36378207128</v>
      </c>
      <c r="K15" s="36">
        <v>34201.29411003775</v>
      </c>
      <c r="L15" s="38">
        <f>IFERROR(K15/M15,0)</f>
        <v>0.25657314908721784</v>
      </c>
      <c r="M15" s="36">
        <v>133300.36378207128</v>
      </c>
    </row>
    <row r="16" ht="19" customHeight="1" spans="2:13" x14ac:dyDescent="0.25">
      <c r="B16" s="33">
        <v>2036</v>
      </c>
      <c r="C16" s="35">
        <v>68</v>
      </c>
      <c r="D16" s="34">
        <v>0</v>
      </c>
      <c r="E16" s="34">
        <v>21666.231294353536</v>
      </c>
      <c r="F16" s="34">
        <v>10965.387361215471</v>
      </c>
      <c r="G16" s="34">
        <v>0</v>
      </c>
      <c r="H16" s="34">
        <v>21600</v>
      </c>
      <c r="I16" s="34">
        <v>112270.5762323417</v>
      </c>
      <c r="J16" s="34">
        <v>166502.1948879107</v>
      </c>
      <c r="K16" s="34">
        <v>48514.82245694539</v>
      </c>
      <c r="L16" s="51">
        <f>IFERROR(K16/M16,0)</f>
        <v>0.2913764739834545</v>
      </c>
      <c r="M16" s="34">
        <v>166502.1948879107</v>
      </c>
    </row>
    <row r="17" ht="19" customHeight="1" spans="2:13" x14ac:dyDescent="0.25">
      <c r="B17" s="29">
        <v>2037</v>
      </c>
      <c r="C17" s="32">
        <v>69</v>
      </c>
      <c r="D17" s="36">
        <v>0</v>
      </c>
      <c r="E17" s="36">
        <v>22223.256855546148</v>
      </c>
      <c r="F17" s="36">
        <v>11195.660495800992</v>
      </c>
      <c r="G17" s="36">
        <v>0</v>
      </c>
      <c r="H17" s="36">
        <v>21600</v>
      </c>
      <c r="I17" s="36">
        <v>96511.8892313086</v>
      </c>
      <c r="J17" s="36">
        <v>151530.80658265573</v>
      </c>
      <c r="K17" s="36">
        <v>41025.67327349013</v>
      </c>
      <c r="L17" s="38">
        <f>IFERROR(K17/M17,0)</f>
        <v>0.27074146966354196</v>
      </c>
      <c r="M17" s="36">
        <v>151530.80658265573</v>
      </c>
    </row>
    <row r="18" ht="19" customHeight="1" spans="2:13" x14ac:dyDescent="0.25">
      <c r="B18" s="33">
        <v>2038</v>
      </c>
      <c r="C18" s="35">
        <v>70</v>
      </c>
      <c r="D18" s="34">
        <v>0</v>
      </c>
      <c r="E18" s="34">
        <v>22928.73208939367</v>
      </c>
      <c r="F18" s="34">
        <v>11430.769366212815</v>
      </c>
      <c r="G18" s="34">
        <v>0</v>
      </c>
      <c r="H18" s="34">
        <v>21600</v>
      </c>
      <c r="I18" s="34">
        <v>103491.6610221399</v>
      </c>
      <c r="J18" s="34">
        <v>159451.16247774637</v>
      </c>
      <c r="K18" s="34">
        <v>44053.04772641178</v>
      </c>
      <c r="L18" s="51">
        <f>IFERROR(K18/M18,0)</f>
        <v>0.27627925091207783</v>
      </c>
      <c r="M18" s="34">
        <v>159451.16247774637</v>
      </c>
    </row>
    <row r="19" ht="19" customHeight="1" spans="2:13" x14ac:dyDescent="0.25">
      <c r="B19" s="29">
        <v>2039</v>
      </c>
      <c r="C19" s="32">
        <v>71</v>
      </c>
      <c r="D19" s="36">
        <v>0</v>
      </c>
      <c r="E19" s="36">
        <v>23341.861186377573</v>
      </c>
      <c r="F19" s="36">
        <v>11670.815522903282</v>
      </c>
      <c r="G19" s="36">
        <v>0</v>
      </c>
      <c r="H19" s="36">
        <v>21600</v>
      </c>
      <c r="I19" s="36">
        <v>98189.98806535476</v>
      </c>
      <c r="J19" s="36">
        <v>154802.66477463563</v>
      </c>
      <c r="K19" s="36">
        <v>41322.74577483437</v>
      </c>
      <c r="L19" s="38">
        <f>IFERROR(K19/M19,0)</f>
        <v>0.266938207006919</v>
      </c>
      <c r="M19" s="36">
        <v>154802.66477463563</v>
      </c>
    </row>
    <row r="20" ht="19" customHeight="1" spans="2:13" x14ac:dyDescent="0.25">
      <c r="B20" s="33">
        <v>2040</v>
      </c>
      <c r="C20" s="35">
        <v>72</v>
      </c>
      <c r="D20" s="34">
        <v>0</v>
      </c>
      <c r="E20" s="34">
        <v>23458.570492309456</v>
      </c>
      <c r="F20" s="34">
        <v>11915.902648884248</v>
      </c>
      <c r="G20" s="34">
        <v>0</v>
      </c>
      <c r="H20" s="34">
        <v>21600</v>
      </c>
      <c r="I20" s="34">
        <v>91923.21054425961</v>
      </c>
      <c r="J20" s="34">
        <v>148897.68368545332</v>
      </c>
      <c r="K20" s="34">
        <v>38357.81932420925</v>
      </c>
      <c r="L20" s="51">
        <f>IFERROR(K20/M20,0)</f>
        <v>0.257611927699562</v>
      </c>
      <c r="M20" s="34">
        <v>148897.68368545332</v>
      </c>
    </row>
    <row r="21" ht="19" customHeight="1" spans="2:13" x14ac:dyDescent="0.25">
      <c r="B21" s="29">
        <v>2041</v>
      </c>
      <c r="C21" s="32">
        <v>73</v>
      </c>
      <c r="D21" s="36">
        <v>0</v>
      </c>
      <c r="E21" s="36">
        <v>23648.970156947904</v>
      </c>
      <c r="F21" s="36">
        <v>12166.136604510819</v>
      </c>
      <c r="G21" s="36">
        <v>0</v>
      </c>
      <c r="H21" s="36">
        <v>21600</v>
      </c>
      <c r="I21" s="36">
        <v>94328.86691410672</v>
      </c>
      <c r="J21" s="36">
        <v>151743.97367556544</v>
      </c>
      <c r="K21" s="36">
        <v>39047.97370982531</v>
      </c>
      <c r="L21" s="38">
        <f>IFERROR(K21/M21,0)</f>
        <v>0.25732800297764313</v>
      </c>
      <c r="M21" s="36">
        <v>151743.97367556544</v>
      </c>
    </row>
    <row r="22" ht="19" customHeight="1" spans="2:13" x14ac:dyDescent="0.25">
      <c r="B22" s="33">
        <v>2042</v>
      </c>
      <c r="C22" s="35">
        <v>74</v>
      </c>
      <c r="D22" s="34">
        <v>0</v>
      </c>
      <c r="E22" s="34">
        <v>24279.113730997793</v>
      </c>
      <c r="F22" s="34">
        <v>12421.625473205546</v>
      </c>
      <c r="G22" s="34">
        <v>0</v>
      </c>
      <c r="H22" s="34">
        <v>21600</v>
      </c>
      <c r="I22" s="34">
        <v>109939.14270583758</v>
      </c>
      <c r="J22" s="34">
        <v>168239.88191004092</v>
      </c>
      <c r="K22" s="34">
        <v>45571.1134300718</v>
      </c>
      <c r="L22" s="51">
        <f>IFERROR(K22/M22,0)</f>
        <v>0.27086986101451854</v>
      </c>
      <c r="M22" s="34">
        <v>168239.88191004092</v>
      </c>
    </row>
    <row r="23" ht="19" customHeight="1" spans="2:13" x14ac:dyDescent="0.25">
      <c r="B23" s="29">
        <v>2043</v>
      </c>
      <c r="C23" s="32">
        <v>75</v>
      </c>
      <c r="D23" s="36">
        <v>0</v>
      </c>
      <c r="E23" s="36">
        <v>24772.584490481288</v>
      </c>
      <c r="F23" s="36">
        <v>13950.727568957149</v>
      </c>
      <c r="G23" s="36">
        <v>0</v>
      </c>
      <c r="H23" s="36">
        <v>21600</v>
      </c>
      <c r="I23" s="36">
        <v>81336.58279977314</v>
      </c>
      <c r="J23" s="36">
        <v>141659.89485921158</v>
      </c>
      <c r="K23" s="36">
        <v>34478.997977960054</v>
      </c>
      <c r="L23" s="38">
        <f>IFERROR(K23/M23,0)</f>
        <v>0.2433927966149272</v>
      </c>
      <c r="M23" s="36">
        <v>141659.89485921158</v>
      </c>
    </row>
    <row r="24" ht="19" customHeight="1" spans="2:13" x14ac:dyDescent="0.25">
      <c r="B24" s="33">
        <v>2044</v>
      </c>
      <c r="C24" s="35">
        <v>76</v>
      </c>
      <c r="D24" s="34">
        <v>0</v>
      </c>
      <c r="E24" s="34">
        <v>25774.91774471405</v>
      </c>
      <c r="F24" s="34">
        <v>14243.692847905246</v>
      </c>
      <c r="G24" s="34">
        <v>0</v>
      </c>
      <c r="H24" s="34">
        <v>21600</v>
      </c>
      <c r="I24" s="34">
        <v>102553.65527621206</v>
      </c>
      <c r="J24" s="34">
        <v>164172.26586883137</v>
      </c>
      <c r="K24" s="34">
        <v>42656.31730286626</v>
      </c>
      <c r="L24" s="51">
        <f>IFERROR(K24/M24,0)</f>
        <v>0.25982657349047833</v>
      </c>
      <c r="M24" s="34">
        <v>164172.26586883137</v>
      </c>
    </row>
    <row r="25" ht="19" customHeight="1" spans="2:13" x14ac:dyDescent="0.25">
      <c r="B25" s="29">
        <v>2045</v>
      </c>
      <c r="C25" s="32">
        <v>77</v>
      </c>
      <c r="D25" s="36">
        <v>0</v>
      </c>
      <c r="E25" s="36">
        <v>26461.75991641913</v>
      </c>
      <c r="F25" s="36">
        <v>14542.810397711255</v>
      </c>
      <c r="G25" s="36">
        <v>0</v>
      </c>
      <c r="H25" s="36">
        <v>21600</v>
      </c>
      <c r="I25" s="36">
        <v>92910.9777921935</v>
      </c>
      <c r="J25" s="36">
        <v>155515.54810632387</v>
      </c>
      <c r="K25" s="36">
        <v>38864.40347954046</v>
      </c>
      <c r="L25" s="38">
        <f>IFERROR(K25/M25,0)</f>
        <v>0.2499068675305018</v>
      </c>
      <c r="M25" s="36">
        <v>155515.54810632387</v>
      </c>
    </row>
    <row r="26" ht="19" customHeight="1" spans="2:13" x14ac:dyDescent="0.25">
      <c r="B26" s="33">
        <v>2046</v>
      </c>
      <c r="C26" s="35">
        <v>78</v>
      </c>
      <c r="D26" s="34">
        <v>0</v>
      </c>
      <c r="E26" s="34">
        <v>26680.2720695</v>
      </c>
      <c r="F26" s="34">
        <v>14848.209416063186</v>
      </c>
      <c r="G26" s="34">
        <v>0</v>
      </c>
      <c r="H26" s="34">
        <v>21600</v>
      </c>
      <c r="I26" s="34">
        <v>79629.68937245035</v>
      </c>
      <c r="J26" s="34">
        <v>142758.17085801353</v>
      </c>
      <c r="K26" s="34">
        <v>33661.73963197793</v>
      </c>
      <c r="L26" s="51">
        <f>IFERROR(K26/M26,0)</f>
        <v>0.23579553751398022</v>
      </c>
      <c r="M26" s="34">
        <v>142758.17085801353</v>
      </c>
    </row>
    <row r="27" ht="19" customHeight="1" spans="2:13" x14ac:dyDescent="0.25">
      <c r="B27" s="29">
        <v>2047</v>
      </c>
      <c r="C27" s="32">
        <v>79</v>
      </c>
      <c r="D27" s="36">
        <v>0</v>
      </c>
      <c r="E27" s="36">
        <v>27570.498974362894</v>
      </c>
      <c r="F27" s="36">
        <v>15160.021813800515</v>
      </c>
      <c r="G27" s="36">
        <v>0</v>
      </c>
      <c r="H27" s="36">
        <v>21600</v>
      </c>
      <c r="I27" s="36">
        <v>105695.09557181459</v>
      </c>
      <c r="J27" s="36">
        <v>170025.61635997798</v>
      </c>
      <c r="K27" s="36">
        <v>43464.59122744614</v>
      </c>
      <c r="L27" s="38">
        <f>IFERROR(K27/M27,0)</f>
        <v>0.255635545736961</v>
      </c>
      <c r="M27" s="36">
        <v>170025.61635997798</v>
      </c>
    </row>
    <row r="28" ht="19" customHeight="1" spans="2:13" x14ac:dyDescent="0.25">
      <c r="B28" s="33">
        <v>2048</v>
      </c>
      <c r="C28" s="35">
        <v>80</v>
      </c>
      <c r="D28" s="34">
        <v>0</v>
      </c>
      <c r="E28" s="34">
        <v>28054.178806442484</v>
      </c>
      <c r="F28" s="34">
        <v>15478.382271890323</v>
      </c>
      <c r="G28" s="34">
        <v>0</v>
      </c>
      <c r="H28" s="34">
        <v>21600</v>
      </c>
      <c r="I28" s="34">
        <v>91565.04850536332</v>
      </c>
      <c r="J28" s="34">
        <v>156697.60958369612</v>
      </c>
      <c r="K28" s="34">
        <v>38074.85439372858</v>
      </c>
      <c r="L28" s="51">
        <f>IFERROR(K28/M28,0)</f>
        <v>0.24298299441123156</v>
      </c>
      <c r="M28" s="34">
        <v>156697.60958369612</v>
      </c>
    </row>
    <row r="29" ht="19" customHeight="1" spans="2:13" x14ac:dyDescent="0.25">
      <c r="B29" s="29">
        <v>2049</v>
      </c>
      <c r="C29" s="32">
        <v>81</v>
      </c>
      <c r="D29" s="36">
        <v>0</v>
      </c>
      <c r="E29" s="36">
        <v>28830.081853734267</v>
      </c>
      <c r="F29" s="36">
        <v>15803.428299600018</v>
      </c>
      <c r="G29" s="36">
        <v>0</v>
      </c>
      <c r="H29" s="36">
        <v>21600</v>
      </c>
      <c r="I29" s="36">
        <v>105444.35043306995</v>
      </c>
      <c r="J29" s="36">
        <v>171677.86058640422</v>
      </c>
      <c r="K29" s="36">
        <v>43201.866466101696</v>
      </c>
      <c r="L29" s="38">
        <f>IFERROR(K29/M29,0)</f>
        <v>0.25164494896742096</v>
      </c>
      <c r="M29" s="36">
        <v>171677.86058640422</v>
      </c>
    </row>
    <row r="30" ht="19" customHeight="1" spans="2:13" x14ac:dyDescent="0.25">
      <c r="B30" s="33">
        <v>2050</v>
      </c>
      <c r="C30" s="35">
        <v>82</v>
      </c>
      <c r="D30" s="34">
        <v>0</v>
      </c>
      <c r="E30" s="34">
        <v>29192.852792333295</v>
      </c>
      <c r="F30" s="34">
        <v>16135.300293891618</v>
      </c>
      <c r="G30" s="34">
        <v>0</v>
      </c>
      <c r="H30" s="34">
        <v>21600</v>
      </c>
      <c r="I30" s="34">
        <v>91024.76783897968</v>
      </c>
      <c r="J30" s="34">
        <v>157952.92092520458</v>
      </c>
      <c r="K30" s="34">
        <v>37647.61403301603</v>
      </c>
      <c r="L30" s="51">
        <f>IFERROR(K30/M30,0)</f>
        <v>0.23834705817718493</v>
      </c>
      <c r="M30" s="34">
        <v>157952.92092520458</v>
      </c>
    </row>
    <row r="31" ht="19" customHeight="1" spans="2:13" x14ac:dyDescent="0.25">
      <c r="B31" s="29">
        <v>2051</v>
      </c>
      <c r="C31" s="32">
        <v>83</v>
      </c>
      <c r="D31" s="36">
        <v>0</v>
      </c>
      <c r="E31" s="36">
        <v>29338.817056294956</v>
      </c>
      <c r="F31" s="36">
        <v>15093.593570431382</v>
      </c>
      <c r="G31" s="36">
        <v>0</v>
      </c>
      <c r="H31" s="36">
        <v>21600</v>
      </c>
      <c r="I31" s="36">
        <v>86199.72754244914</v>
      </c>
      <c r="J31" s="36">
        <v>152232.13816917548</v>
      </c>
      <c r="K31" s="36">
        <v>35015.51092581832</v>
      </c>
      <c r="L31" s="38">
        <f>IFERROR(K31/M31,0)</f>
        <v>0.2300139204962464</v>
      </c>
      <c r="M31" s="36">
        <v>152232.13816917548</v>
      </c>
    </row>
    <row r="32" ht="19" customHeight="1" spans="2:13" x14ac:dyDescent="0.25">
      <c r="B32" s="33">
        <v>2052</v>
      </c>
      <c r="C32" s="35">
        <v>84</v>
      </c>
      <c r="D32" s="34">
        <v>0</v>
      </c>
      <c r="E32" s="34">
        <v>30196.385118563645</v>
      </c>
      <c r="F32" s="34">
        <v>14707.959096252795</v>
      </c>
      <c r="G32" s="34">
        <v>0</v>
      </c>
      <c r="H32" s="34">
        <v>21600</v>
      </c>
      <c r="I32" s="34">
        <v>117769.18774330535</v>
      </c>
      <c r="J32" s="34">
        <v>184273.53195812178</v>
      </c>
      <c r="K32" s="34">
        <v>46541.41164700754</v>
      </c>
      <c r="L32" s="51">
        <f>IFERROR(K32/M32,0)</f>
        <v>0.25256699186503134</v>
      </c>
      <c r="M32" s="34">
        <v>184273.53195812178</v>
      </c>
    </row>
    <row r="33" ht="19" customHeight="1" spans="2:13" x14ac:dyDescent="0.25">
      <c r="B33" s="29">
        <v>2053</v>
      </c>
      <c r="C33" s="32">
        <v>85</v>
      </c>
      <c r="D33" s="36">
        <v>0</v>
      </c>
      <c r="E33" s="36">
        <v>31455.907941257254</v>
      </c>
      <c r="F33" s="36">
        <v>14690.742522605913</v>
      </c>
      <c r="G33" s="36">
        <v>0</v>
      </c>
      <c r="H33" s="36">
        <v>21600</v>
      </c>
      <c r="I33" s="36">
        <v>109752.13357351621</v>
      </c>
      <c r="J33" s="36">
        <v>177498.78403737937</v>
      </c>
      <c r="K33" s="36">
        <v>43623.53423546113</v>
      </c>
      <c r="L33" s="38">
        <f>IFERROR(K33/M33,0)</f>
        <v>0.245768073691561</v>
      </c>
      <c r="M33" s="36">
        <v>177498.78403737937</v>
      </c>
    </row>
    <row r="34" ht="19" customHeight="1" spans="2:13" x14ac:dyDescent="0.25">
      <c r="B34" s="33">
        <v>2054</v>
      </c>
      <c r="C34" s="35">
        <v>86</v>
      </c>
      <c r="D34" s="34">
        <v>0</v>
      </c>
      <c r="E34" s="34">
        <v>32664.825595900344</v>
      </c>
      <c r="F34" s="34">
        <v>17395.461170458904</v>
      </c>
      <c r="G34" s="34">
        <v>0</v>
      </c>
      <c r="H34" s="34">
        <v>21600</v>
      </c>
      <c r="I34" s="34">
        <v>110109.83150952638</v>
      </c>
      <c r="J34" s="34">
        <v>181770.11827588564</v>
      </c>
      <c r="K34" s="34">
        <v>44745.59358931181</v>
      </c>
      <c r="L34" s="51">
        <f>IFERROR(K34/M34,0)</f>
        <v>0.24616583855327742</v>
      </c>
      <c r="M34" s="34">
        <v>181770.11827588564</v>
      </c>
    </row>
    <row r="35" ht="19" customHeight="1" spans="2:13" x14ac:dyDescent="0.25">
      <c r="B35" s="29">
        <v>2055</v>
      </c>
      <c r="C35" s="32">
        <v>87</v>
      </c>
      <c r="D35" s="36">
        <v>0</v>
      </c>
      <c r="E35" s="36">
        <v>33661.01807983836</v>
      </c>
      <c r="F35" s="36">
        <v>17902.17354515139</v>
      </c>
      <c r="G35" s="36">
        <v>0</v>
      </c>
      <c r="H35" s="36">
        <v>21600</v>
      </c>
      <c r="I35" s="36">
        <v>103568.31745558104</v>
      </c>
      <c r="J35" s="36">
        <v>176731.50908057077</v>
      </c>
      <c r="K35" s="36">
        <v>42331.47797499219</v>
      </c>
      <c r="L35" s="38">
        <f>IFERROR(K35/M35,0)</f>
        <v>0.2395242262979463</v>
      </c>
      <c r="M35" s="36">
        <v>176731.50908057077</v>
      </c>
    </row>
    <row r="36" ht="19" customHeight="1" spans="2:13" x14ac:dyDescent="0.25">
      <c r="B36" s="33">
        <v>2056</v>
      </c>
      <c r="C36" s="35">
        <v>88</v>
      </c>
      <c r="D36" s="34">
        <v>0</v>
      </c>
      <c r="E36" s="34">
        <v>35315.7413435726</v>
      </c>
      <c r="F36" s="34">
        <v>18278.119189599565</v>
      </c>
      <c r="G36" s="34">
        <v>0</v>
      </c>
      <c r="H36" s="34">
        <v>21600</v>
      </c>
      <c r="I36" s="34">
        <v>157234.41205257247</v>
      </c>
      <c r="J36" s="34">
        <v>232428.27258574462</v>
      </c>
      <c r="K36" s="34">
        <v>64330.874034002554</v>
      </c>
      <c r="L36" s="51">
        <f>IFERROR(K36/M36,0)</f>
        <v>0.27677731851778226</v>
      </c>
      <c r="M36" s="34">
        <v>232428.27258574462</v>
      </c>
    </row>
    <row r="37" ht="19" customHeight="1" spans="2:13" x14ac:dyDescent="0.25">
      <c r="B37" s="29">
        <v>2057</v>
      </c>
      <c r="C37" s="32">
        <v>89</v>
      </c>
      <c r="D37" s="36">
        <v>0</v>
      </c>
      <c r="E37" s="36">
        <v>36178.7130600206</v>
      </c>
      <c r="F37" s="36">
        <v>18661.959692581153</v>
      </c>
      <c r="G37" s="36">
        <v>0</v>
      </c>
      <c r="H37" s="36">
        <v>21600</v>
      </c>
      <c r="I37" s="36">
        <v>109053.52865447878</v>
      </c>
      <c r="J37" s="36">
        <v>185494.20140708052</v>
      </c>
      <c r="K37" s="36">
        <v>44606.0117454339</v>
      </c>
      <c r="L37" s="38">
        <f>IFERROR(K37/M37,0)</f>
        <v>0.24047119212930415</v>
      </c>
      <c r="M37" s="36">
        <v>185494.20140708052</v>
      </c>
    </row>
    <row r="38" ht="19" customHeight="1" spans="2:13" x14ac:dyDescent="0.25">
      <c r="B38" s="33">
        <v>2058</v>
      </c>
      <c r="C38" s="35">
        <v>90</v>
      </c>
      <c r="D38" s="34">
        <v>0</v>
      </c>
      <c r="E38" s="34">
        <v>39073.01010482226</v>
      </c>
      <c r="F38" s="34">
        <v>0</v>
      </c>
      <c r="G38" s="34">
        <v>0</v>
      </c>
      <c r="H38" s="34">
        <v>21600</v>
      </c>
      <c r="I38" s="34">
        <v>392341.87523529085</v>
      </c>
      <c r="J38" s="34">
        <v>453014.8853401131</v>
      </c>
      <c r="K38" s="34">
        <v>169319.4973269065</v>
      </c>
      <c r="L38" s="51">
        <f>IFERROR(K38/M38,0)</f>
        <v>0.3737614431803612</v>
      </c>
      <c r="M38" s="34">
        <v>453014.8853401131</v>
      </c>
    </row>
    <row r="39" ht="19" customHeight="1" spans="2:13" x14ac:dyDescent="0.25">
      <c r="B39" s="29">
        <v>2059</v>
      </c>
      <c r="C39" s="32">
        <v>91</v>
      </c>
      <c r="D39" s="36">
        <v>0</v>
      </c>
      <c r="E39" s="36">
        <v>39268.37515534636</v>
      </c>
      <c r="F39" s="36">
        <v>19453.991923893984</v>
      </c>
      <c r="G39" s="36">
        <v>0</v>
      </c>
      <c r="H39" s="36">
        <v>21600</v>
      </c>
      <c r="I39" s="36">
        <v>98567.66429016634</v>
      </c>
      <c r="J39" s="36">
        <v>178890.03136940667</v>
      </c>
      <c r="K39" s="36">
        <v>41016.65328385407</v>
      </c>
      <c r="L39" s="38">
        <f>IFERROR(K39/M39,0)</f>
        <v>0.22928417514307978</v>
      </c>
      <c r="M39" s="36">
        <v>178890.03136940667</v>
      </c>
    </row>
    <row r="40" ht="19" customHeight="1" spans="2:13" x14ac:dyDescent="0.25">
      <c r="B40" s="33">
        <v>2060</v>
      </c>
      <c r="C40" s="35">
        <v>92</v>
      </c>
      <c r="D40" s="34">
        <v>0</v>
      </c>
      <c r="E40" s="34">
        <v>41055.19140422642</v>
      </c>
      <c r="F40" s="34">
        <v>18165.035084718973</v>
      </c>
      <c r="G40" s="34">
        <v>0</v>
      </c>
      <c r="H40" s="34">
        <v>21600</v>
      </c>
      <c r="I40" s="34">
        <v>199814.93775065293</v>
      </c>
      <c r="J40" s="34">
        <v>280635.1642395983</v>
      </c>
      <c r="K40" s="34">
        <v>82952.99113519216</v>
      </c>
      <c r="L40" s="51">
        <f>IFERROR(K40/M40,0)</f>
        <v>0.29559015300152924</v>
      </c>
      <c r="M40" s="34">
        <v>280635.1642395983</v>
      </c>
    </row>
    <row r="43" spans="2:14" x14ac:dyDescent="0.25">
      <c r="B43" s="40" t="s">
        <v>67</v>
      </c>
      <c r="C43" s="40"/>
      <c r="D43" s="40"/>
      <c r="E43" s="40"/>
      <c r="F43" s="40"/>
      <c r="G43" s="40"/>
      <c r="H43" s="40"/>
      <c r="I43" s="40"/>
      <c r="J43" s="40"/>
      <c r="K43" s="40"/>
      <c r="L43" s="40"/>
      <c r="M43" s="40"/>
      <c r="N43" s="40"/>
    </row>
  </sheetData>
  <autoFilter ref="B5:M5"/>
  <mergeCells count="3">
    <mergeCell ref="B2:N2"/>
    <mergeCell ref="B3:N3"/>
    <mergeCell ref="B43:N43"/>
  </mergeCells>
  <pageSetup paperSize="9" orientation="landscape" fitToWidth="1" fitToHeight="0"/>
  <headerFooter>
    <oddFooter>&amp;L&amp;8BuildFi Technologies inc.&amp;C&amp;8Page &amp;P / &amp;N&amp;R&amp;8&amp;D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83"/>
  <sheetViews>
    <sheetView workbookViewId="0">
      <pane ySplit="70" topLeftCell="A71" activePane="bottomLeft" state="frozen"/>
      <selection pane="bottomLeft"/>
    </sheetView>
  </sheetViews>
  <sheetFormatPr defaultRowHeight="15" outlineLevelRow="0" outlineLevelCol="0" x14ac:dyDescent="55"/>
  <cols>
    <col min="1" max="1" width="3" customWidth="1"/>
    <col min="2" max="2" width="10" customWidth="1"/>
    <col min="3" max="3" width="8" customWidth="1"/>
    <col min="4" max="14" width="14" customWidth="1"/>
  </cols>
  <sheetData>
    <row r="1" ht="8" customHeight="1" x14ac:dyDescent="0.25"/>
    <row r="2" ht="28" customHeight="1" spans="2:14" x14ac:dyDescent="0.25">
      <c r="B2" s="41" t="s">
        <v>188</v>
      </c>
      <c r="C2" s="41"/>
      <c r="D2" s="41"/>
      <c r="E2" s="41"/>
      <c r="F2" s="41"/>
      <c r="G2" s="41"/>
      <c r="H2" s="41"/>
      <c r="I2" s="41"/>
      <c r="J2" s="41"/>
      <c r="K2" s="41"/>
      <c r="L2" s="41"/>
      <c r="M2" s="41"/>
      <c r="N2" s="41"/>
    </row>
    <row r="3" ht="16" customHeight="1" spans="2:14" x14ac:dyDescent="0.25">
      <c r="B3" s="62">
        <v>9290795.36351752</v>
      </c>
      <c r="C3" s="62"/>
      <c r="D3" s="62"/>
      <c r="E3" s="62"/>
      <c r="F3" s="62"/>
      <c r="G3" s="62"/>
      <c r="H3" s="62"/>
      <c r="I3" s="62"/>
      <c r="J3" s="62"/>
      <c r="K3" s="62"/>
      <c r="L3" s="62"/>
      <c r="M3" s="62"/>
      <c r="N3" s="62"/>
    </row>
    <row r="4" spans="2:8" x14ac:dyDescent="0.25">
      <c r="B4" s="63" t="s">
        <v>189</v>
      </c>
      <c r="C4" s="63"/>
      <c r="D4" s="64" t="s">
        <v>190</v>
      </c>
      <c r="E4" s="64" t="s">
        <v>191</v>
      </c>
      <c r="F4" s="64" t="s">
        <v>192</v>
      </c>
      <c r="G4" s="64" t="s">
        <v>193</v>
      </c>
      <c r="H4" s="64" t="s">
        <v>194</v>
      </c>
    </row>
    <row r="5" ht="30" customHeight="1" spans="2:11" x14ac:dyDescent="0.25">
      <c r="B5" s="27" t="s">
        <v>149</v>
      </c>
      <c r="C5" s="28" t="s">
        <v>71</v>
      </c>
      <c r="D5" s="28" t="s">
        <v>195</v>
      </c>
      <c r="E5" s="28" t="s">
        <v>196</v>
      </c>
      <c r="F5" s="28" t="s">
        <v>191</v>
      </c>
      <c r="G5" s="28" t="s">
        <v>192</v>
      </c>
      <c r="H5" s="28" t="s">
        <v>193</v>
      </c>
      <c r="I5" s="28" t="s">
        <v>197</v>
      </c>
      <c r="J5" s="28" t="s">
        <v>198</v>
      </c>
      <c r="K5" s="28" t="s">
        <v>199</v>
      </c>
    </row>
    <row r="6" ht="19" customHeight="1" spans="2:11" x14ac:dyDescent="0.25">
      <c r="B6" s="33">
        <v>2026</v>
      </c>
      <c r="C6" s="35">
        <v>58</v>
      </c>
      <c r="D6" s="34">
        <v>2103130.7153061097</v>
      </c>
      <c r="E6" s="34">
        <v>1681509.1822000265</v>
      </c>
      <c r="F6" s="34">
        <v>1957300.502080114</v>
      </c>
      <c r="G6" s="34">
        <v>2103130.7153061097</v>
      </c>
      <c r="H6" s="34">
        <v>2254291.9606193565</v>
      </c>
      <c r="I6" s="34">
        <v>2522723.672978186</v>
      </c>
      <c r="J6" s="65">
        <f>G6-D6</f>
        <v>0</v>
      </c>
      <c r="K6" s="34">
        <f>I6-E6</f>
        <v>841214.4907781596</v>
      </c>
    </row>
    <row r="7" ht="19" customHeight="1" spans="2:11" x14ac:dyDescent="0.25">
      <c r="B7" s="29">
        <v>2027</v>
      </c>
      <c r="C7" s="32">
        <v>59</v>
      </c>
      <c r="D7" s="36">
        <v>2187186.05558675</v>
      </c>
      <c r="E7" s="36">
        <v>1599869.9239368206</v>
      </c>
      <c r="F7" s="36">
        <v>1955626.68272584</v>
      </c>
      <c r="G7" s="36">
        <v>2187186.05558675</v>
      </c>
      <c r="H7" s="36">
        <v>2430613.9863204965</v>
      </c>
      <c r="I7" s="36">
        <v>2819976.5388620114</v>
      </c>
      <c r="J7" s="66">
        <f>G7-D7</f>
        <v>0</v>
      </c>
      <c r="K7" s="36">
        <f>I7-E7</f>
        <v>1220106.6149251908</v>
      </c>
    </row>
    <row r="8" ht="19" customHeight="1" spans="2:11" x14ac:dyDescent="0.25">
      <c r="B8" s="33">
        <v>2028</v>
      </c>
      <c r="C8" s="35">
        <v>60</v>
      </c>
      <c r="D8" s="34">
        <v>2278376.3435830367</v>
      </c>
      <c r="E8" s="34">
        <v>1530636.242538177</v>
      </c>
      <c r="F8" s="34">
        <v>1973111.471417434</v>
      </c>
      <c r="G8" s="34">
        <v>2278376.3435830367</v>
      </c>
      <c r="H8" s="34">
        <v>2601257.1993384208</v>
      </c>
      <c r="I8" s="34">
        <v>3158154.755044241</v>
      </c>
      <c r="J8" s="65">
        <f>G8-D8</f>
        <v>0</v>
      </c>
      <c r="K8" s="34">
        <f>I8-E8</f>
        <v>1627518.512506064</v>
      </c>
    </row>
    <row r="9" ht="19" customHeight="1" spans="2:11" x14ac:dyDescent="0.25">
      <c r="B9" s="29">
        <v>2029</v>
      </c>
      <c r="C9" s="32">
        <v>61</v>
      </c>
      <c r="D9" s="36">
        <v>2391256.0293533844</v>
      </c>
      <c r="E9" s="36">
        <v>1525747.3551512286</v>
      </c>
      <c r="F9" s="36">
        <v>2027299.2173684617</v>
      </c>
      <c r="G9" s="36">
        <v>2391256.0293533844</v>
      </c>
      <c r="H9" s="36">
        <v>2757657.92226663</v>
      </c>
      <c r="I9" s="36">
        <v>3441039.65730182</v>
      </c>
      <c r="J9" s="66">
        <f>G9-D9</f>
        <v>0</v>
      </c>
      <c r="K9" s="36">
        <f>I9-E9</f>
        <v>1915292.3021505913</v>
      </c>
    </row>
    <row r="10" ht="19" customHeight="1" spans="2:11" x14ac:dyDescent="0.25">
      <c r="B10" s="33">
        <v>2030</v>
      </c>
      <c r="C10" s="35">
        <v>62</v>
      </c>
      <c r="D10" s="34">
        <v>2473695.245705913</v>
      </c>
      <c r="E10" s="34">
        <v>1505251.4124396143</v>
      </c>
      <c r="F10" s="34">
        <v>2076363.6407031366</v>
      </c>
      <c r="G10" s="34">
        <v>2473695.245705913</v>
      </c>
      <c r="H10" s="34">
        <v>2945823.6092175893</v>
      </c>
      <c r="I10" s="34">
        <v>3798853.7563229697</v>
      </c>
      <c r="J10" s="65">
        <f>G10-D10</f>
        <v>0</v>
      </c>
      <c r="K10" s="34">
        <f>I10-E10</f>
        <v>2293602.343883355</v>
      </c>
    </row>
    <row r="11" ht="19" customHeight="1" spans="2:11" x14ac:dyDescent="0.25">
      <c r="B11" s="29">
        <v>2031</v>
      </c>
      <c r="C11" s="32">
        <v>63</v>
      </c>
      <c r="D11" s="36">
        <v>2468235.064038798</v>
      </c>
      <c r="E11" s="36">
        <v>1346631.0688865264</v>
      </c>
      <c r="F11" s="36">
        <v>2002944.8115957633</v>
      </c>
      <c r="G11" s="36">
        <v>2468235.064038798</v>
      </c>
      <c r="H11" s="36">
        <v>2987673.2127224766</v>
      </c>
      <c r="I11" s="36">
        <v>3966800.71186193</v>
      </c>
      <c r="J11" s="66">
        <f>G11-D11</f>
        <v>0</v>
      </c>
      <c r="K11" s="36">
        <f>I11-E11</f>
        <v>2620169.6429754035</v>
      </c>
    </row>
    <row r="12" ht="19" customHeight="1" spans="2:11" x14ac:dyDescent="0.25">
      <c r="B12" s="33">
        <v>2032</v>
      </c>
      <c r="C12" s="35">
        <v>64</v>
      </c>
      <c r="D12" s="34">
        <v>2428983.8685486466</v>
      </c>
      <c r="E12" s="34">
        <v>1244296.9066457062</v>
      </c>
      <c r="F12" s="34">
        <v>1935488.1711457223</v>
      </c>
      <c r="G12" s="34">
        <v>2428983.8685486466</v>
      </c>
      <c r="H12" s="34">
        <v>3031182.443626282</v>
      </c>
      <c r="I12" s="34">
        <v>4243185.746397285</v>
      </c>
      <c r="J12" s="65">
        <f>G12-D12</f>
        <v>0</v>
      </c>
      <c r="K12" s="34">
        <f>I12-E12</f>
        <v>2998888.839751579</v>
      </c>
    </row>
    <row r="13" ht="19" customHeight="1" spans="2:11" x14ac:dyDescent="0.25">
      <c r="B13" s="29">
        <v>2033</v>
      </c>
      <c r="C13" s="32">
        <v>65</v>
      </c>
      <c r="D13" s="36">
        <v>2414508.641469058</v>
      </c>
      <c r="E13" s="36">
        <v>1162533.2527878874</v>
      </c>
      <c r="F13" s="36">
        <v>1902754.9143040627</v>
      </c>
      <c r="G13" s="36">
        <v>2414508.641469058</v>
      </c>
      <c r="H13" s="36">
        <v>3122836.791806099</v>
      </c>
      <c r="I13" s="36">
        <v>4505886.192334661</v>
      </c>
      <c r="J13" s="66">
        <f>G13-D13</f>
        <v>0</v>
      </c>
      <c r="K13" s="36">
        <f>I13-E13</f>
        <v>3343352.939546774</v>
      </c>
    </row>
    <row r="14" ht="19" customHeight="1" spans="2:11" x14ac:dyDescent="0.25">
      <c r="B14" s="33">
        <v>2034</v>
      </c>
      <c r="C14" s="35">
        <v>66</v>
      </c>
      <c r="D14" s="34">
        <v>2411616.9926579474</v>
      </c>
      <c r="E14" s="34">
        <v>1126958.2431232492</v>
      </c>
      <c r="F14" s="34">
        <v>1840768.4717076242</v>
      </c>
      <c r="G14" s="34">
        <v>2411616.9926579474</v>
      </c>
      <c r="H14" s="34">
        <v>3208701.747353553</v>
      </c>
      <c r="I14" s="34">
        <v>4733953.190861644</v>
      </c>
      <c r="J14" s="65">
        <f>G14-D14</f>
        <v>0</v>
      </c>
      <c r="K14" s="34">
        <f>I14-E14</f>
        <v>3606994.947738395</v>
      </c>
    </row>
    <row r="15" ht="19" customHeight="1" spans="2:11" x14ac:dyDescent="0.25">
      <c r="B15" s="29">
        <v>2035</v>
      </c>
      <c r="C15" s="32">
        <v>67</v>
      </c>
      <c r="D15" s="36">
        <v>2413033.503521603</v>
      </c>
      <c r="E15" s="36">
        <v>1045683.4821412185</v>
      </c>
      <c r="F15" s="36">
        <v>1796149.332064276</v>
      </c>
      <c r="G15" s="36">
        <v>2413033.503521603</v>
      </c>
      <c r="H15" s="36">
        <v>3269662.32702081</v>
      </c>
      <c r="I15" s="36">
        <v>5016548.956623526</v>
      </c>
      <c r="J15" s="66">
        <f>G15-D15</f>
        <v>0</v>
      </c>
      <c r="K15" s="36">
        <f>I15-E15</f>
        <v>3970865.4744823077</v>
      </c>
    </row>
    <row r="16" ht="19" customHeight="1" spans="2:11" x14ac:dyDescent="0.25">
      <c r="B16" s="33">
        <v>2036</v>
      </c>
      <c r="C16" s="35">
        <v>68</v>
      </c>
      <c r="D16" s="34">
        <v>2404380.630537931</v>
      </c>
      <c r="E16" s="34">
        <v>953261.6450426299</v>
      </c>
      <c r="F16" s="34">
        <v>1710741.7890505143</v>
      </c>
      <c r="G16" s="34">
        <v>2404380.630537931</v>
      </c>
      <c r="H16" s="34">
        <v>3308574.923851694</v>
      </c>
      <c r="I16" s="34">
        <v>5317932.25588729</v>
      </c>
      <c r="J16" s="65">
        <f>G16-D16</f>
        <v>0</v>
      </c>
      <c r="K16" s="34">
        <f>I16-E16</f>
        <v>4364670.610844661</v>
      </c>
    </row>
    <row r="17" ht="19" customHeight="1" spans="2:11" x14ac:dyDescent="0.25">
      <c r="B17" s="29">
        <v>2037</v>
      </c>
      <c r="C17" s="32">
        <v>69</v>
      </c>
      <c r="D17" s="36">
        <v>2446702.003997325</v>
      </c>
      <c r="E17" s="36">
        <v>882049.7911649622</v>
      </c>
      <c r="F17" s="36">
        <v>1674919.4730812642</v>
      </c>
      <c r="G17" s="36">
        <v>2446702.003997325</v>
      </c>
      <c r="H17" s="36">
        <v>3410302.647867476</v>
      </c>
      <c r="I17" s="36">
        <v>5527003.233216033</v>
      </c>
      <c r="J17" s="66">
        <f>G17-D17</f>
        <v>0</v>
      </c>
      <c r="K17" s="36">
        <f>I17-E17</f>
        <v>4644953.442051071</v>
      </c>
    </row>
    <row r="18" ht="19" customHeight="1" spans="2:11" x14ac:dyDescent="0.25">
      <c r="B18" s="33">
        <v>2038</v>
      </c>
      <c r="C18" s="35">
        <v>70</v>
      </c>
      <c r="D18" s="34">
        <v>2380747.997916863</v>
      </c>
      <c r="E18" s="34">
        <v>791575.9602223489</v>
      </c>
      <c r="F18" s="34">
        <v>1614422.9466726284</v>
      </c>
      <c r="G18" s="34">
        <v>2380747.997916863</v>
      </c>
      <c r="H18" s="34">
        <v>3485921.148302318</v>
      </c>
      <c r="I18" s="34">
        <v>5833055.779115359</v>
      </c>
      <c r="J18" s="65">
        <f>G18-D18</f>
        <v>0</v>
      </c>
      <c r="K18" s="34">
        <f>I18-E18</f>
        <v>5041479.818893011</v>
      </c>
    </row>
    <row r="19" ht="19" customHeight="1" spans="2:11" x14ac:dyDescent="0.25">
      <c r="B19" s="29">
        <v>2039</v>
      </c>
      <c r="C19" s="32">
        <v>71</v>
      </c>
      <c r="D19" s="36">
        <v>2371486.5238003903</v>
      </c>
      <c r="E19" s="36">
        <v>729739.9573874396</v>
      </c>
      <c r="F19" s="36">
        <v>1617013.101422968</v>
      </c>
      <c r="G19" s="36">
        <v>2371486.5238003903</v>
      </c>
      <c r="H19" s="36">
        <v>3543894.46862599</v>
      </c>
      <c r="I19" s="36">
        <v>5980731.139926029</v>
      </c>
      <c r="J19" s="66">
        <f>G19-D19</f>
        <v>0</v>
      </c>
      <c r="K19" s="36">
        <f>I19-E19</f>
        <v>5250991.182538589</v>
      </c>
    </row>
    <row r="20" ht="19" customHeight="1" spans="2:11" x14ac:dyDescent="0.25">
      <c r="B20" s="33">
        <v>2040</v>
      </c>
      <c r="C20" s="35">
        <v>72</v>
      </c>
      <c r="D20" s="34">
        <v>2389172.2723543644</v>
      </c>
      <c r="E20" s="34">
        <v>666978.623843262</v>
      </c>
      <c r="F20" s="34">
        <v>1571888.0766028427</v>
      </c>
      <c r="G20" s="34">
        <v>2389172.2723543644</v>
      </c>
      <c r="H20" s="34">
        <v>3627326.636824812</v>
      </c>
      <c r="I20" s="34">
        <v>6227484.254132555</v>
      </c>
      <c r="J20" s="65">
        <f>G20-D20</f>
        <v>0</v>
      </c>
      <c r="K20" s="34">
        <f>I20-E20</f>
        <v>5560505.630289293</v>
      </c>
    </row>
    <row r="21" ht="19" customHeight="1" spans="2:11" x14ac:dyDescent="0.25">
      <c r="B21" s="29">
        <v>2041</v>
      </c>
      <c r="C21" s="32">
        <v>73</v>
      </c>
      <c r="D21" s="36">
        <v>2424944.71518917</v>
      </c>
      <c r="E21" s="36">
        <v>629996.8801061738</v>
      </c>
      <c r="F21" s="36">
        <v>1553119.8535587336</v>
      </c>
      <c r="G21" s="36">
        <v>2424944.71518917</v>
      </c>
      <c r="H21" s="36">
        <v>3702257.597879061</v>
      </c>
      <c r="I21" s="36">
        <v>6413336.25637455</v>
      </c>
      <c r="J21" s="66">
        <f>G21-D21</f>
        <v>0</v>
      </c>
      <c r="K21" s="36">
        <f>I21-E21</f>
        <v>5783339.376268377</v>
      </c>
    </row>
    <row r="22" ht="19" customHeight="1" spans="2:11" x14ac:dyDescent="0.25">
      <c r="B22" s="33">
        <v>2042</v>
      </c>
      <c r="C22" s="35">
        <v>74</v>
      </c>
      <c r="D22" s="34">
        <v>2405867.8080513636</v>
      </c>
      <c r="E22" s="34">
        <v>556596.0237461037</v>
      </c>
      <c r="F22" s="34">
        <v>1507622.7715444742</v>
      </c>
      <c r="G22" s="34">
        <v>2405867.8080513636</v>
      </c>
      <c r="H22" s="34">
        <v>3785224.026610486</v>
      </c>
      <c r="I22" s="34">
        <v>6651725.397555827</v>
      </c>
      <c r="J22" s="65">
        <f>G22-D22</f>
        <v>0</v>
      </c>
      <c r="K22" s="34">
        <f>I22-E22</f>
        <v>6095129.373809723</v>
      </c>
    </row>
    <row r="23" ht="19" customHeight="1" spans="2:11" x14ac:dyDescent="0.25">
      <c r="B23" s="29">
        <v>2043</v>
      </c>
      <c r="C23" s="32">
        <v>75</v>
      </c>
      <c r="D23" s="36">
        <v>2496942.2920494615</v>
      </c>
      <c r="E23" s="36">
        <v>514018.3084732021</v>
      </c>
      <c r="F23" s="36">
        <v>1481836.7090529192</v>
      </c>
      <c r="G23" s="36">
        <v>2496942.2920494615</v>
      </c>
      <c r="H23" s="36">
        <v>3896735.1931783967</v>
      </c>
      <c r="I23" s="36">
        <v>6987449.206533087</v>
      </c>
      <c r="J23" s="66">
        <f>G23-D23</f>
        <v>0</v>
      </c>
      <c r="K23" s="36">
        <f>I23-E23</f>
        <v>6473430.898059885</v>
      </c>
    </row>
    <row r="24" ht="19" customHeight="1" spans="2:11" x14ac:dyDescent="0.25">
      <c r="B24" s="33">
        <v>2044</v>
      </c>
      <c r="C24" s="35">
        <v>76</v>
      </c>
      <c r="D24" s="34">
        <v>2467449.134401379</v>
      </c>
      <c r="E24" s="34">
        <v>448972.0719640193</v>
      </c>
      <c r="F24" s="34">
        <v>1485385.3219164433</v>
      </c>
      <c r="G24" s="34">
        <v>2467449.134401379</v>
      </c>
      <c r="H24" s="34">
        <v>4005029.4193863734</v>
      </c>
      <c r="I24" s="34">
        <v>7197560.620334173</v>
      </c>
      <c r="J24" s="65">
        <f>G24-D24</f>
        <v>0</v>
      </c>
      <c r="K24" s="34">
        <f>I24-E24</f>
        <v>6748588.548370154</v>
      </c>
    </row>
    <row r="25" ht="19" customHeight="1" spans="2:11" x14ac:dyDescent="0.25">
      <c r="B25" s="29">
        <v>2045</v>
      </c>
      <c r="C25" s="32">
        <v>77</v>
      </c>
      <c r="D25" s="36">
        <v>2450652.15556678</v>
      </c>
      <c r="E25" s="36">
        <v>405632.1388297068</v>
      </c>
      <c r="F25" s="36">
        <v>1448682.898647924</v>
      </c>
      <c r="G25" s="36">
        <v>2450652.15556678</v>
      </c>
      <c r="H25" s="36">
        <v>3989584.0083088046</v>
      </c>
      <c r="I25" s="36">
        <v>7171201.065208012</v>
      </c>
      <c r="J25" s="66">
        <f>G25-D25</f>
        <v>0</v>
      </c>
      <c r="K25" s="36">
        <f>I25-E25</f>
        <v>6765568.926378305</v>
      </c>
    </row>
    <row r="26" ht="19" customHeight="1" spans="2:11" x14ac:dyDescent="0.25">
      <c r="B26" s="33">
        <v>2046</v>
      </c>
      <c r="C26" s="35">
        <v>78</v>
      </c>
      <c r="D26" s="34">
        <v>2469020.273380594</v>
      </c>
      <c r="E26" s="34">
        <v>345058.4900729415</v>
      </c>
      <c r="F26" s="34">
        <v>1393332.4003957647</v>
      </c>
      <c r="G26" s="34">
        <v>2469020.273380594</v>
      </c>
      <c r="H26" s="34">
        <v>4028306.8296916983</v>
      </c>
      <c r="I26" s="34">
        <v>7440757.600023197</v>
      </c>
      <c r="J26" s="65">
        <f>G26-D26</f>
        <v>0</v>
      </c>
      <c r="K26" s="34">
        <f>I26-E26</f>
        <v>7095699.109950256</v>
      </c>
    </row>
    <row r="27" ht="19" customHeight="1" spans="2:11" x14ac:dyDescent="0.25">
      <c r="B27" s="29">
        <v>2047</v>
      </c>
      <c r="C27" s="32">
        <v>79</v>
      </c>
      <c r="D27" s="36">
        <v>2482309.3101439863</v>
      </c>
      <c r="E27" s="36">
        <v>289571.4520320787</v>
      </c>
      <c r="F27" s="36">
        <v>1366385.9226700398</v>
      </c>
      <c r="G27" s="36">
        <v>2482309.3101439863</v>
      </c>
      <c r="H27" s="36">
        <v>4045475.5718833404</v>
      </c>
      <c r="I27" s="36">
        <v>7629655.518763435</v>
      </c>
      <c r="J27" s="66">
        <f>G27-D27</f>
        <v>0</v>
      </c>
      <c r="K27" s="36">
        <f>I27-E27</f>
        <v>7340084.066731356</v>
      </c>
    </row>
    <row r="28" ht="19" customHeight="1" spans="2:11" x14ac:dyDescent="0.25">
      <c r="B28" s="33">
        <v>2048</v>
      </c>
      <c r="C28" s="35">
        <v>80</v>
      </c>
      <c r="D28" s="34">
        <v>2439131.9868705203</v>
      </c>
      <c r="E28" s="34">
        <v>220335.40115434644</v>
      </c>
      <c r="F28" s="34">
        <v>1331376.6977694756</v>
      </c>
      <c r="G28" s="34">
        <v>2439131.9868705203</v>
      </c>
      <c r="H28" s="34">
        <v>4034268.3830815167</v>
      </c>
      <c r="I28" s="34">
        <v>7647901.508581283</v>
      </c>
      <c r="J28" s="65">
        <f>G28-D28</f>
        <v>0</v>
      </c>
      <c r="K28" s="34">
        <f>I28-E28</f>
        <v>7427566.107426936</v>
      </c>
    </row>
    <row r="29" ht="19" customHeight="1" spans="2:11" x14ac:dyDescent="0.25">
      <c r="B29" s="29">
        <v>2049</v>
      </c>
      <c r="C29" s="32">
        <v>81</v>
      </c>
      <c r="D29" s="36">
        <v>2429614.455426001</v>
      </c>
      <c r="E29" s="36">
        <v>160242.66759056752</v>
      </c>
      <c r="F29" s="36">
        <v>1286383.470129273</v>
      </c>
      <c r="G29" s="36">
        <v>2429614.455426001</v>
      </c>
      <c r="H29" s="36">
        <v>3957672.2745099165</v>
      </c>
      <c r="I29" s="36">
        <v>7719641.575708819</v>
      </c>
      <c r="J29" s="66">
        <f>G29-D29</f>
        <v>0</v>
      </c>
      <c r="K29" s="36">
        <f>I29-E29</f>
        <v>7559398.908118251</v>
      </c>
    </row>
    <row r="30" ht="19" customHeight="1" spans="2:11" x14ac:dyDescent="0.25">
      <c r="B30" s="33">
        <v>2050</v>
      </c>
      <c r="C30" s="35">
        <v>82</v>
      </c>
      <c r="D30" s="34">
        <v>2383232.6175810127</v>
      </c>
      <c r="E30" s="34">
        <v>87535.3402293705</v>
      </c>
      <c r="F30" s="34">
        <v>1274874.264328117</v>
      </c>
      <c r="G30" s="34">
        <v>2383232.6175810127</v>
      </c>
      <c r="H30" s="34">
        <v>3985131.3895355836</v>
      </c>
      <c r="I30" s="34">
        <v>7903817.302333048</v>
      </c>
      <c r="J30" s="65">
        <f>G30-D30</f>
        <v>0</v>
      </c>
      <c r="K30" s="34">
        <f>I30-E30</f>
        <v>7816281.962103677</v>
      </c>
    </row>
    <row r="31" ht="19" customHeight="1" spans="2:11" x14ac:dyDescent="0.25">
      <c r="B31" s="29">
        <v>2051</v>
      </c>
      <c r="C31" s="32">
        <v>83</v>
      </c>
      <c r="D31" s="36">
        <v>2346593.665465598</v>
      </c>
      <c r="E31" s="36">
        <v>31494.642856487255</v>
      </c>
      <c r="F31" s="36">
        <v>1216142.4761474405</v>
      </c>
      <c r="G31" s="36">
        <v>2346593.665465598</v>
      </c>
      <c r="H31" s="36">
        <v>3999811.298212821</v>
      </c>
      <c r="I31" s="36">
        <v>8015657.704076128</v>
      </c>
      <c r="J31" s="66">
        <f>G31-D31</f>
        <v>0</v>
      </c>
      <c r="K31" s="36">
        <f>I31-E31</f>
        <v>7984163.061219641</v>
      </c>
    </row>
    <row r="32" ht="19" customHeight="1" spans="2:11" x14ac:dyDescent="0.25">
      <c r="B32" s="33">
        <v>2052</v>
      </c>
      <c r="C32" s="35">
        <v>84</v>
      </c>
      <c r="D32" s="34">
        <v>2302794.8505461267</v>
      </c>
      <c r="E32" s="34">
        <v>1577.658551565115</v>
      </c>
      <c r="F32" s="34">
        <v>1176276.9379941947</v>
      </c>
      <c r="G32" s="34">
        <v>2302794.8505461267</v>
      </c>
      <c r="H32" s="34">
        <v>3985257.8326608897</v>
      </c>
      <c r="I32" s="34">
        <v>8165038.241808301</v>
      </c>
      <c r="J32" s="65">
        <f>G32-D32</f>
        <v>0</v>
      </c>
      <c r="K32" s="34">
        <f>I32-E32</f>
        <v>8163460.5832567355</v>
      </c>
    </row>
    <row r="33" ht="19" customHeight="1" spans="2:11" x14ac:dyDescent="0.25">
      <c r="B33" s="29">
        <v>2053</v>
      </c>
      <c r="C33" s="32">
        <v>85</v>
      </c>
      <c r="D33" s="36">
        <v>2261865.538014837</v>
      </c>
      <c r="E33" s="36">
        <v>0</v>
      </c>
      <c r="F33" s="36">
        <v>1156855.958277769</v>
      </c>
      <c r="G33" s="36">
        <v>2261865.538014837</v>
      </c>
      <c r="H33" s="36">
        <v>3914477.473081109</v>
      </c>
      <c r="I33" s="36">
        <v>8266147.022434291</v>
      </c>
      <c r="J33" s="66">
        <f>G33-D33</f>
        <v>0</v>
      </c>
      <c r="K33" s="36">
        <f>I33-E33</f>
        <v>8266147.022434291</v>
      </c>
    </row>
    <row r="34" ht="19" customHeight="1" spans="2:11" x14ac:dyDescent="0.25">
      <c r="B34" s="33">
        <v>2054</v>
      </c>
      <c r="C34" s="35">
        <v>86</v>
      </c>
      <c r="D34" s="34">
        <v>2222835.4276269516</v>
      </c>
      <c r="E34" s="34">
        <v>0</v>
      </c>
      <c r="F34" s="34">
        <v>1109381.8700905263</v>
      </c>
      <c r="G34" s="34">
        <v>2222835.4276269516</v>
      </c>
      <c r="H34" s="34">
        <v>3900912.3887705826</v>
      </c>
      <c r="I34" s="34">
        <v>8268472.556427796</v>
      </c>
      <c r="J34" s="65">
        <f>G34-D34</f>
        <v>0</v>
      </c>
      <c r="K34" s="34">
        <f>I34-E34</f>
        <v>8268472.556427796</v>
      </c>
    </row>
    <row r="35" ht="19" customHeight="1" spans="2:11" x14ac:dyDescent="0.25">
      <c r="B35" s="29">
        <v>2055</v>
      </c>
      <c r="C35" s="32">
        <v>87</v>
      </c>
      <c r="D35" s="36">
        <v>2209309.348056554</v>
      </c>
      <c r="E35" s="36">
        <v>0</v>
      </c>
      <c r="F35" s="36">
        <v>1061060.4366613554</v>
      </c>
      <c r="G35" s="36">
        <v>2209309.348056554</v>
      </c>
      <c r="H35" s="36">
        <v>3892298.2703035325</v>
      </c>
      <c r="I35" s="36">
        <v>8322561.698876783</v>
      </c>
      <c r="J35" s="66">
        <f>G35-D35</f>
        <v>0</v>
      </c>
      <c r="K35" s="36">
        <f>I35-E35</f>
        <v>8322561.698876783</v>
      </c>
    </row>
    <row r="36" ht="19" customHeight="1" spans="2:11" x14ac:dyDescent="0.25">
      <c r="B36" s="33">
        <v>2056</v>
      </c>
      <c r="C36" s="35">
        <v>88</v>
      </c>
      <c r="D36" s="34">
        <v>2191362.4152296423</v>
      </c>
      <c r="E36" s="34">
        <v>0</v>
      </c>
      <c r="F36" s="34">
        <v>1027102.5265168778</v>
      </c>
      <c r="G36" s="34">
        <v>2191362.4152296423</v>
      </c>
      <c r="H36" s="34">
        <v>3907987.7444118573</v>
      </c>
      <c r="I36" s="34">
        <v>8598307.579319408</v>
      </c>
      <c r="J36" s="65">
        <f>G36-D36</f>
        <v>0</v>
      </c>
      <c r="K36" s="34">
        <f>I36-E36</f>
        <v>8598307.579319408</v>
      </c>
    </row>
    <row r="37" ht="19" customHeight="1" spans="2:11" x14ac:dyDescent="0.25">
      <c r="B37" s="29">
        <v>2057</v>
      </c>
      <c r="C37" s="32">
        <v>89</v>
      </c>
      <c r="D37" s="36">
        <v>2174823.6107123466</v>
      </c>
      <c r="E37" s="36">
        <v>0</v>
      </c>
      <c r="F37" s="36">
        <v>984843.4163073853</v>
      </c>
      <c r="G37" s="36">
        <v>2174823.6107123466</v>
      </c>
      <c r="H37" s="36">
        <v>3946059.7269102074</v>
      </c>
      <c r="I37" s="36">
        <v>8574087.334334385</v>
      </c>
      <c r="J37" s="66">
        <f>G37-D37</f>
        <v>0</v>
      </c>
      <c r="K37" s="36">
        <f>I37-E37</f>
        <v>8574087.334334385</v>
      </c>
    </row>
    <row r="38" ht="19" customHeight="1" spans="2:11" x14ac:dyDescent="0.25">
      <c r="B38" s="33">
        <v>2058</v>
      </c>
      <c r="C38" s="35">
        <v>90</v>
      </c>
      <c r="D38" s="34">
        <v>2132406.2338854736</v>
      </c>
      <c r="E38" s="34">
        <v>0</v>
      </c>
      <c r="F38" s="34">
        <v>969162.840340181</v>
      </c>
      <c r="G38" s="34">
        <v>2132406.2338854736</v>
      </c>
      <c r="H38" s="34">
        <v>3966959.1516062045</v>
      </c>
      <c r="I38" s="34">
        <v>9082872.18428987</v>
      </c>
      <c r="J38" s="65">
        <f>G38-D38</f>
        <v>0</v>
      </c>
      <c r="K38" s="34">
        <f>I38-E38</f>
        <v>9082872.18428987</v>
      </c>
    </row>
    <row r="39" ht="19" customHeight="1" spans="2:11" x14ac:dyDescent="0.25">
      <c r="B39" s="29">
        <v>2059</v>
      </c>
      <c r="C39" s="32">
        <v>91</v>
      </c>
      <c r="D39" s="36">
        <v>2059028.7496544395</v>
      </c>
      <c r="E39" s="36">
        <v>0</v>
      </c>
      <c r="F39" s="36">
        <v>903275.0509233788</v>
      </c>
      <c r="G39" s="36">
        <v>2059028.7496544395</v>
      </c>
      <c r="H39" s="36">
        <v>3989311.383827281</v>
      </c>
      <c r="I39" s="36">
        <v>8987581.120267186</v>
      </c>
      <c r="J39" s="66">
        <f>G39-D39</f>
        <v>0</v>
      </c>
      <c r="K39" s="36">
        <f>I39-E39</f>
        <v>8987581.120267186</v>
      </c>
    </row>
    <row r="40" ht="19" customHeight="1" spans="2:11" x14ac:dyDescent="0.25">
      <c r="B40" s="33">
        <v>2060</v>
      </c>
      <c r="C40" s="35">
        <v>92</v>
      </c>
      <c r="D40" s="34">
        <v>1998307.3655901249</v>
      </c>
      <c r="E40" s="34">
        <v>0</v>
      </c>
      <c r="F40" s="34">
        <v>843100.7857148243</v>
      </c>
      <c r="G40" s="34">
        <v>1998307.3655901249</v>
      </c>
      <c r="H40" s="34">
        <v>3938620.6152961007</v>
      </c>
      <c r="I40" s="34">
        <v>9264901.72005555</v>
      </c>
      <c r="J40" s="65">
        <f>G40-D40</f>
        <v>0</v>
      </c>
      <c r="K40" s="34">
        <f>I40-E40</f>
        <v>9264901.72005555</v>
      </c>
    </row>
    <row r="43" ht="24" customHeight="1" spans="2:14" x14ac:dyDescent="0.25">
      <c r="B43" s="18" t="s">
        <v>200</v>
      </c>
      <c r="C43" s="18"/>
      <c r="D43" s="18"/>
      <c r="E43" s="18"/>
      <c r="F43" s="18"/>
      <c r="G43" s="18"/>
      <c r="H43" s="18"/>
      <c r="I43" s="18"/>
      <c r="J43" s="18"/>
      <c r="K43" s="18"/>
      <c r="L43" s="18"/>
      <c r="M43" s="18"/>
      <c r="N43" s="18"/>
    </row>
    <row r="45" ht="30" customHeight="1" spans="2:6" x14ac:dyDescent="0.25">
      <c r="B45" s="27" t="s">
        <v>201</v>
      </c>
      <c r="C45" s="28" t="s">
        <v>202</v>
      </c>
      <c r="D45" s="28" t="s">
        <v>203</v>
      </c>
      <c r="E45" s="28" t="s">
        <v>87</v>
      </c>
      <c r="F45" s="28" t="s">
        <v>204</v>
      </c>
    </row>
    <row r="46" ht="19" customHeight="1" spans="2:6" x14ac:dyDescent="0.25">
      <c r="B46" s="33">
        <v>1</v>
      </c>
      <c r="C46" s="34">
        <v>0</v>
      </c>
      <c r="D46" s="34">
        <v>1759846.262361921</v>
      </c>
      <c r="E46" s="35">
        <v>888</v>
      </c>
      <c r="F46" s="51">
        <v>0.444</v>
      </c>
    </row>
    <row r="47" ht="19" customHeight="1" spans="2:6" x14ac:dyDescent="0.25">
      <c r="B47" s="29">
        <v>2</v>
      </c>
      <c r="C47" s="36">
        <v>1759846.262361921</v>
      </c>
      <c r="D47" s="36">
        <v>3519692.524723842</v>
      </c>
      <c r="E47" s="32">
        <v>527</v>
      </c>
      <c r="F47" s="38">
        <v>0.2635</v>
      </c>
    </row>
    <row r="48" ht="19" customHeight="1" spans="2:6" x14ac:dyDescent="0.25">
      <c r="B48" s="33">
        <v>3</v>
      </c>
      <c r="C48" s="34">
        <v>3519692.524723842</v>
      </c>
      <c r="D48" s="34">
        <v>5279538.787085762</v>
      </c>
      <c r="E48" s="35">
        <v>280</v>
      </c>
      <c r="F48" s="51">
        <v>0.14</v>
      </c>
    </row>
    <row r="49" ht="19" customHeight="1" spans="2:6" x14ac:dyDescent="0.25">
      <c r="B49" s="29">
        <v>4</v>
      </c>
      <c r="C49" s="36">
        <v>5279538.787085762</v>
      </c>
      <c r="D49" s="36">
        <v>7039385.049447684</v>
      </c>
      <c r="E49" s="32">
        <v>121</v>
      </c>
      <c r="F49" s="38">
        <v>0.0605</v>
      </c>
    </row>
    <row r="50" ht="19" customHeight="1" spans="2:6" x14ac:dyDescent="0.25">
      <c r="B50" s="33">
        <v>5</v>
      </c>
      <c r="C50" s="34">
        <v>7039385.049447684</v>
      </c>
      <c r="D50" s="34">
        <v>8799231.311809605</v>
      </c>
      <c r="E50" s="35">
        <v>73</v>
      </c>
      <c r="F50" s="51">
        <v>0.0365</v>
      </c>
    </row>
    <row r="51" ht="19" customHeight="1" spans="2:6" x14ac:dyDescent="0.25">
      <c r="B51" s="29">
        <v>6</v>
      </c>
      <c r="C51" s="36">
        <v>8799231.311809605</v>
      </c>
      <c r="D51" s="36">
        <v>10559077.574171524</v>
      </c>
      <c r="E51" s="32">
        <v>36</v>
      </c>
      <c r="F51" s="38">
        <v>0.018</v>
      </c>
    </row>
    <row r="52" ht="19" customHeight="1" spans="2:6" x14ac:dyDescent="0.25">
      <c r="B52" s="33">
        <v>7</v>
      </c>
      <c r="C52" s="34">
        <v>10559077.574171524</v>
      </c>
      <c r="D52" s="34">
        <v>12318923.836533446</v>
      </c>
      <c r="E52" s="35">
        <v>28</v>
      </c>
      <c r="F52" s="51">
        <v>0.014</v>
      </c>
    </row>
    <row r="53" ht="19" customHeight="1" spans="2:6" x14ac:dyDescent="0.25">
      <c r="B53" s="29">
        <v>8</v>
      </c>
      <c r="C53" s="36">
        <v>12318923.836533446</v>
      </c>
      <c r="D53" s="36">
        <v>14078770.098895367</v>
      </c>
      <c r="E53" s="32">
        <v>21</v>
      </c>
      <c r="F53" s="38">
        <v>0.0105</v>
      </c>
    </row>
    <row r="54" ht="19" customHeight="1" spans="2:6" x14ac:dyDescent="0.25">
      <c r="B54" s="33">
        <v>9</v>
      </c>
      <c r="C54" s="34">
        <v>14078770.098895367</v>
      </c>
      <c r="D54" s="34">
        <v>15838616.361257289</v>
      </c>
      <c r="E54" s="35">
        <v>12</v>
      </c>
      <c r="F54" s="51">
        <v>0.006</v>
      </c>
    </row>
    <row r="55" ht="19" customHeight="1" spans="2:6" x14ac:dyDescent="0.25">
      <c r="B55" s="29">
        <v>10</v>
      </c>
      <c r="C55" s="36">
        <v>15838616.361257289</v>
      </c>
      <c r="D55" s="36">
        <v>17598462.62361921</v>
      </c>
      <c r="E55" s="32">
        <v>7</v>
      </c>
      <c r="F55" s="38">
        <v>0.0035</v>
      </c>
    </row>
    <row r="56" ht="19" customHeight="1" spans="2:6" x14ac:dyDescent="0.25">
      <c r="B56" s="33">
        <v>11</v>
      </c>
      <c r="C56" s="34">
        <v>17598462.62361921</v>
      </c>
      <c r="D56" s="34">
        <v>19358308.88598113</v>
      </c>
      <c r="E56" s="35">
        <v>2</v>
      </c>
      <c r="F56" s="51">
        <v>0.001</v>
      </c>
    </row>
    <row r="57" ht="19" customHeight="1" spans="2:6" x14ac:dyDescent="0.25">
      <c r="B57" s="29">
        <v>12</v>
      </c>
      <c r="C57" s="36">
        <v>19358308.88598113</v>
      </c>
      <c r="D57" s="36">
        <v>21118155.14834305</v>
      </c>
      <c r="E57" s="32">
        <v>2</v>
      </c>
      <c r="F57" s="38">
        <v>0.001</v>
      </c>
    </row>
    <row r="58" ht="19" customHeight="1" spans="2:6" x14ac:dyDescent="0.25">
      <c r="B58" s="33">
        <v>13</v>
      </c>
      <c r="C58" s="34">
        <v>21118155.14834305</v>
      </c>
      <c r="D58" s="34">
        <v>22878001.41070497</v>
      </c>
      <c r="E58" s="35">
        <v>1</v>
      </c>
      <c r="F58" s="51">
        <v>0.0005</v>
      </c>
    </row>
    <row r="59" ht="19" customHeight="1" spans="2:6" x14ac:dyDescent="0.25">
      <c r="B59" s="29">
        <v>14</v>
      </c>
      <c r="C59" s="36">
        <v>22878001.41070497</v>
      </c>
      <c r="D59" s="36">
        <v>24637847.67306689</v>
      </c>
      <c r="E59" s="32">
        <v>1</v>
      </c>
      <c r="F59" s="38">
        <v>0.0005</v>
      </c>
    </row>
    <row r="60" ht="19" customHeight="1" spans="2:6" x14ac:dyDescent="0.25">
      <c r="B60" s="33">
        <v>15</v>
      </c>
      <c r="C60" s="34">
        <v>24637847.67306689</v>
      </c>
      <c r="D60" s="34">
        <v>26397693.935428813</v>
      </c>
      <c r="E60" s="35">
        <v>0</v>
      </c>
      <c r="F60" s="51">
        <v>0</v>
      </c>
    </row>
    <row r="61" ht="19" customHeight="1" spans="2:6" x14ac:dyDescent="0.25">
      <c r="B61" s="29">
        <v>16</v>
      </c>
      <c r="C61" s="36">
        <v>26397693.935428813</v>
      </c>
      <c r="D61" s="36">
        <v>28157540.197790734</v>
      </c>
      <c r="E61" s="32">
        <v>0</v>
      </c>
      <c r="F61" s="38">
        <v>0</v>
      </c>
    </row>
    <row r="62" ht="19" customHeight="1" spans="2:6" x14ac:dyDescent="0.25">
      <c r="B62" s="33">
        <v>17</v>
      </c>
      <c r="C62" s="34">
        <v>28157540.197790734</v>
      </c>
      <c r="D62" s="34">
        <v>29917386.460152656</v>
      </c>
      <c r="E62" s="35">
        <v>0</v>
      </c>
      <c r="F62" s="51">
        <v>0</v>
      </c>
    </row>
    <row r="63" ht="19" customHeight="1" spans="2:6" x14ac:dyDescent="0.25">
      <c r="B63" s="29">
        <v>18</v>
      </c>
      <c r="C63" s="36">
        <v>29917386.460152656</v>
      </c>
      <c r="D63" s="36">
        <v>31677232.722514577</v>
      </c>
      <c r="E63" s="32">
        <v>0</v>
      </c>
      <c r="F63" s="38">
        <v>0</v>
      </c>
    </row>
    <row r="64" ht="19" customHeight="1" spans="2:6" x14ac:dyDescent="0.25">
      <c r="B64" s="33">
        <v>19</v>
      </c>
      <c r="C64" s="34">
        <v>31677232.722514577</v>
      </c>
      <c r="D64" s="34">
        <v>33437078.9848765</v>
      </c>
      <c r="E64" s="35">
        <v>0</v>
      </c>
      <c r="F64" s="51">
        <v>0</v>
      </c>
    </row>
    <row r="65" ht="19" customHeight="1" spans="2:6" x14ac:dyDescent="0.25">
      <c r="B65" s="29">
        <v>20</v>
      </c>
      <c r="C65" s="36">
        <v>33437078.9848765</v>
      </c>
      <c r="D65" s="36">
        <v>35196925.24723842</v>
      </c>
      <c r="E65" s="32">
        <v>1</v>
      </c>
      <c r="F65" s="38">
        <v>0.0005</v>
      </c>
    </row>
    <row r="68" ht="24" customHeight="1" spans="2:14" x14ac:dyDescent="0.25">
      <c r="B68" s="18" t="s">
        <v>205</v>
      </c>
      <c r="C68" s="18"/>
      <c r="D68" s="18"/>
      <c r="E68" s="18"/>
      <c r="F68" s="18"/>
      <c r="G68" s="18"/>
      <c r="H68" s="18"/>
      <c r="I68" s="18"/>
      <c r="J68" s="18"/>
      <c r="K68" s="18"/>
      <c r="L68" s="18"/>
      <c r="M68" s="18"/>
      <c r="N68" s="18"/>
    </row>
    <row r="70" ht="30" customHeight="1" spans="2:5" x14ac:dyDescent="0.25">
      <c r="B70" s="27" t="s">
        <v>71</v>
      </c>
      <c r="C70" s="28" t="s">
        <v>206</v>
      </c>
      <c r="D70" s="28" t="s">
        <v>207</v>
      </c>
      <c r="E70" s="28" t="s">
        <v>208</v>
      </c>
    </row>
    <row r="71" ht="19" customHeight="1" spans="2:5" x14ac:dyDescent="0.25">
      <c r="B71" s="29">
        <v>55</v>
      </c>
      <c r="C71" s="32">
        <v>2000</v>
      </c>
      <c r="D71" s="32">
        <v>0</v>
      </c>
      <c r="E71" s="38">
        <f>IFERROR(D71/C71,0)</f>
        <v>0</v>
      </c>
    </row>
    <row r="72" ht="19" customHeight="1" spans="2:5" x14ac:dyDescent="0.25">
      <c r="B72" s="33">
        <v>60</v>
      </c>
      <c r="C72" s="35">
        <v>2000</v>
      </c>
      <c r="D72" s="35">
        <v>0</v>
      </c>
      <c r="E72" s="51">
        <f>IFERROR(D72/C72,0)</f>
        <v>0</v>
      </c>
    </row>
    <row r="73" ht="19" customHeight="1" spans="2:5" x14ac:dyDescent="0.25">
      <c r="B73" s="29">
        <v>65</v>
      </c>
      <c r="C73" s="32">
        <v>2000</v>
      </c>
      <c r="D73" s="32">
        <v>2</v>
      </c>
      <c r="E73" s="38">
        <f>IFERROR(D73/C73,0)</f>
        <v>0.001</v>
      </c>
    </row>
    <row r="74" ht="19" customHeight="1" spans="2:5" x14ac:dyDescent="0.25">
      <c r="B74" s="33">
        <v>70</v>
      </c>
      <c r="C74" s="35">
        <v>2000</v>
      </c>
      <c r="D74" s="35">
        <v>6</v>
      </c>
      <c r="E74" s="51">
        <f>IFERROR(D74/C74,0)</f>
        <v>0.003</v>
      </c>
    </row>
    <row r="75" ht="19" customHeight="1" spans="2:5" x14ac:dyDescent="0.25">
      <c r="B75" s="29">
        <v>75</v>
      </c>
      <c r="C75" s="32">
        <v>2000</v>
      </c>
      <c r="D75" s="32">
        <v>16</v>
      </c>
      <c r="E75" s="38">
        <f>IFERROR(D75/C75,0)</f>
        <v>0.008</v>
      </c>
    </row>
    <row r="76" ht="19" customHeight="1" spans="2:5" x14ac:dyDescent="0.25">
      <c r="B76" s="33">
        <v>80</v>
      </c>
      <c r="C76" s="35">
        <v>2000</v>
      </c>
      <c r="D76" s="35">
        <v>58</v>
      </c>
      <c r="E76" s="51">
        <f>IFERROR(D76/C76,0)</f>
        <v>0.029</v>
      </c>
    </row>
    <row r="77" ht="19" customHeight="1" spans="2:5" x14ac:dyDescent="0.25">
      <c r="B77" s="29">
        <v>85</v>
      </c>
      <c r="C77" s="32">
        <v>2000</v>
      </c>
      <c r="D77" s="32">
        <v>115</v>
      </c>
      <c r="E77" s="38">
        <f>IFERROR(D77/C77,0)</f>
        <v>0.0575</v>
      </c>
    </row>
    <row r="78" ht="19" customHeight="1" spans="2:5" x14ac:dyDescent="0.25">
      <c r="B78" s="33">
        <v>90</v>
      </c>
      <c r="C78" s="35">
        <v>2000</v>
      </c>
      <c r="D78" s="35">
        <v>169</v>
      </c>
      <c r="E78" s="51">
        <f>IFERROR(D78/C78,0)</f>
        <v>0.0845</v>
      </c>
    </row>
    <row r="79" ht="19" customHeight="1" spans="2:5" x14ac:dyDescent="0.25">
      <c r="B79" s="29">
        <v>95</v>
      </c>
      <c r="C79" s="32">
        <v>0</v>
      </c>
      <c r="D79" s="32">
        <v>201</v>
      </c>
      <c r="E79" s="38">
        <f>IFERROR(D79/C79,0)</f>
        <v>0</v>
      </c>
    </row>
    <row r="80" ht="19" customHeight="1" spans="2:5" x14ac:dyDescent="0.25">
      <c r="B80" s="33">
        <v>100</v>
      </c>
      <c r="C80" s="35">
        <v>0</v>
      </c>
      <c r="D80" s="35">
        <v>201</v>
      </c>
      <c r="E80" s="51">
        <f>IFERROR(D80/C80,0)</f>
        <v>0</v>
      </c>
    </row>
    <row r="81" ht="19" customHeight="1" spans="2:5" x14ac:dyDescent="0.25">
      <c r="B81" s="29">
        <v>105</v>
      </c>
      <c r="C81" s="32">
        <v>0</v>
      </c>
      <c r="D81" s="32">
        <v>201</v>
      </c>
      <c r="E81" s="38">
        <f>IFERROR(D81/C81,0)</f>
        <v>0</v>
      </c>
    </row>
    <row r="83" spans="2:14" x14ac:dyDescent="0.25">
      <c r="B83" s="40" t="s">
        <v>67</v>
      </c>
      <c r="C83" s="40"/>
      <c r="D83" s="40"/>
      <c r="E83" s="40"/>
      <c r="F83" s="40"/>
      <c r="G83" s="40"/>
      <c r="H83" s="40"/>
      <c r="I83" s="40"/>
      <c r="J83" s="40"/>
      <c r="K83" s="40"/>
      <c r="L83" s="40"/>
      <c r="M83" s="40"/>
      <c r="N83" s="40"/>
    </row>
  </sheetData>
  <autoFilter ref="B70:E70"/>
  <mergeCells count="6">
    <mergeCell ref="B2:N2"/>
    <mergeCell ref="B3:N3"/>
    <mergeCell ref="B4:C4"/>
    <mergeCell ref="B43:N43"/>
    <mergeCell ref="B68:N68"/>
    <mergeCell ref="B83:N83"/>
  </mergeCells>
  <conditionalFormatting sqref="J6:J40">
    <cfRule type="colorScale" priority="1">
      <colorScale>
        <cfvo type="min"/>
        <cfvo type="num" val="0"/>
        <cfvo type="max"/>
        <color rgb="FFE06666"/>
        <color rgb="FFFFFFFF"/>
        <color rgb="FF6AA84F"/>
      </colorScale>
    </cfRule>
  </conditionalFormatting>
  <pageSetup paperSize="9" orientation="landscape" fitToWidth="1" fitToHeight="0"/>
  <headerFooter>
    <oddFooter>&amp;L&amp;8BuildFi Technologies inc.&amp;C&amp;8Page &amp;P / &amp;N&amp;R&amp;8&amp;D</oddFooter>
  </headerFooter>
  <rowBreaks count="2" manualBreakCount="2">
    <brk id="43" max="16838" man="1"/>
    <brk id="68" max="1683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0"/>
  <sheetViews>
    <sheetView workbookViewId="0">
      <pane ySplit="25" topLeftCell="A26" activePane="bottomLeft" state="frozen"/>
      <selection pane="bottomLeft"/>
    </sheetView>
  </sheetViews>
  <sheetFormatPr defaultRowHeight="15" outlineLevelRow="0" outlineLevelCol="0" x14ac:dyDescent="55"/>
  <cols>
    <col min="1" max="1" width="3" customWidth="1"/>
    <col min="2" max="2" width="18" customWidth="1"/>
    <col min="3" max="3" width="8" customWidth="1"/>
    <col min="4" max="9" width="16" customWidth="1"/>
    <col min="10" max="10" width="28" customWidth="1"/>
    <col min="11" max="14" width="14" customWidth="1"/>
  </cols>
  <sheetData>
    <row r="1" ht="8" customHeight="1" x14ac:dyDescent="0.25"/>
    <row r="2" ht="28" customHeight="1" spans="2:14" x14ac:dyDescent="0.25">
      <c r="B2" s="41" t="s">
        <v>209</v>
      </c>
      <c r="C2" s="41"/>
      <c r="D2" s="41"/>
      <c r="E2" s="41"/>
      <c r="F2" s="41"/>
      <c r="G2" s="41"/>
      <c r="H2" s="41"/>
      <c r="I2" s="41"/>
      <c r="J2" s="41"/>
      <c r="K2" s="41"/>
      <c r="L2" s="41"/>
      <c r="M2" s="41"/>
      <c r="N2" s="41"/>
    </row>
    <row r="3" ht="16" customHeight="1" spans="2:14" x14ac:dyDescent="0.25">
      <c r="B3" s="42" t="s">
        <v>210</v>
      </c>
      <c r="C3" s="42"/>
      <c r="D3" s="42"/>
      <c r="E3" s="42"/>
      <c r="F3" s="42"/>
      <c r="G3" s="42"/>
      <c r="H3" s="42"/>
      <c r="I3" s="42"/>
      <c r="J3" s="42"/>
      <c r="K3" s="42"/>
      <c r="L3" s="42"/>
      <c r="M3" s="42"/>
      <c r="N3" s="42"/>
    </row>
    <row r="5" ht="24" customHeight="1" spans="2:10" x14ac:dyDescent="0.25">
      <c r="B5" s="67" t="s">
        <v>211</v>
      </c>
      <c r="C5" s="67"/>
      <c r="D5" s="67"/>
      <c r="E5" s="67"/>
      <c r="F5" s="67"/>
      <c r="G5" s="67"/>
      <c r="H5" s="67"/>
      <c r="I5" s="67"/>
      <c r="J5" s="67"/>
    </row>
    <row r="6" ht="16" customHeight="1" spans="2:10" x14ac:dyDescent="0.25">
      <c r="B6" s="25" t="s">
        <v>212</v>
      </c>
      <c r="C6" s="25"/>
      <c r="D6" s="25"/>
      <c r="E6" s="25"/>
      <c r="F6" s="25"/>
      <c r="G6" s="25"/>
      <c r="H6" s="25"/>
      <c r="I6" s="25"/>
      <c r="J6" s="25"/>
    </row>
    <row r="7" ht="30" customHeight="1" spans="2:10" x14ac:dyDescent="0.25">
      <c r="B7" s="27" t="s">
        <v>149</v>
      </c>
      <c r="C7" s="28" t="s">
        <v>71</v>
      </c>
      <c r="D7" s="28" t="s">
        <v>213</v>
      </c>
      <c r="E7" s="28" t="s">
        <v>214</v>
      </c>
      <c r="F7" s="28" t="s">
        <v>215</v>
      </c>
      <c r="G7" s="28" t="s">
        <v>95</v>
      </c>
      <c r="H7" s="28" t="s">
        <v>96</v>
      </c>
      <c r="I7" s="28" t="s">
        <v>216</v>
      </c>
      <c r="J7" s="28" t="s">
        <v>50</v>
      </c>
    </row>
    <row r="8" ht="19" customHeight="1" spans="2:10" x14ac:dyDescent="0.25">
      <c r="B8" s="33">
        <v>2031</v>
      </c>
      <c r="C8" s="35">
        <v>63</v>
      </c>
      <c r="D8" s="68">
        <v>0</v>
      </c>
      <c r="E8" s="68">
        <v>14103</v>
      </c>
      <c r="F8" s="68">
        <v>14103</v>
      </c>
      <c r="G8" s="68">
        <v>40805</v>
      </c>
      <c r="H8" s="68">
        <v>0</v>
      </c>
      <c r="I8" s="68">
        <v>69011</v>
      </c>
      <c r="J8" s="35" t="s">
        <v>217</v>
      </c>
    </row>
    <row r="9" ht="19" customHeight="1" spans="2:10" x14ac:dyDescent="0.25">
      <c r="B9" s="29">
        <v>2032</v>
      </c>
      <c r="C9" s="32">
        <v>64</v>
      </c>
      <c r="D9" s="69">
        <v>0</v>
      </c>
      <c r="E9" s="69">
        <v>170771</v>
      </c>
      <c r="F9" s="69">
        <v>170771</v>
      </c>
      <c r="G9" s="69">
        <v>94265</v>
      </c>
      <c r="H9" s="69">
        <v>44657</v>
      </c>
      <c r="I9" s="69">
        <v>480464</v>
      </c>
      <c r="J9" s="32" t="s">
        <v>73</v>
      </c>
    </row>
    <row r="10" ht="19" customHeight="1" spans="2:10" x14ac:dyDescent="0.25">
      <c r="B10" s="70" t="s">
        <v>218</v>
      </c>
      <c r="C10" s="35"/>
      <c r="D10" s="71">
        <v>0</v>
      </c>
      <c r="E10" s="71">
        <v>184874</v>
      </c>
      <c r="F10" s="71">
        <v>184874</v>
      </c>
      <c r="G10" s="71">
        <v>135070</v>
      </c>
      <c r="H10" s="71">
        <v>44657</v>
      </c>
      <c r="I10" s="71">
        <v>549475</v>
      </c>
      <c r="J10" s="72" t="s">
        <v>219</v>
      </c>
    </row>
    <row r="12" ht="24" customHeight="1" spans="2:10" x14ac:dyDescent="0.25">
      <c r="B12" s="67" t="s">
        <v>220</v>
      </c>
      <c r="C12" s="67"/>
      <c r="D12" s="67"/>
      <c r="E12" s="67"/>
      <c r="F12" s="67"/>
      <c r="G12" s="67"/>
      <c r="H12" s="67"/>
      <c r="I12" s="67"/>
      <c r="J12" s="67"/>
    </row>
    <row r="13" ht="30" customHeight="1" spans="2:10" x14ac:dyDescent="0.25">
      <c r="B13" s="27" t="s">
        <v>149</v>
      </c>
      <c r="C13" s="28" t="s">
        <v>71</v>
      </c>
      <c r="D13" s="28" t="s">
        <v>213</v>
      </c>
      <c r="E13" s="28" t="s">
        <v>214</v>
      </c>
      <c r="F13" s="28" t="s">
        <v>215</v>
      </c>
      <c r="G13" s="28" t="s">
        <v>95</v>
      </c>
      <c r="H13" s="28" t="s">
        <v>96</v>
      </c>
      <c r="I13" s="28" t="s">
        <v>216</v>
      </c>
      <c r="J13" s="28" t="s">
        <v>50</v>
      </c>
    </row>
    <row r="14" ht="19" customHeight="1" spans="2:10" x14ac:dyDescent="0.25">
      <c r="B14" s="33">
        <v>2033</v>
      </c>
      <c r="C14" s="35">
        <v>65</v>
      </c>
      <c r="D14" s="68">
        <v>0</v>
      </c>
      <c r="E14" s="68">
        <v>16832</v>
      </c>
      <c r="F14" s="68">
        <v>16832</v>
      </c>
      <c r="G14" s="68">
        <v>55202</v>
      </c>
      <c r="H14" s="68">
        <v>2090</v>
      </c>
      <c r="I14" s="68">
        <v>90956</v>
      </c>
      <c r="J14" s="35" t="s">
        <v>221</v>
      </c>
    </row>
    <row r="15" ht="19" customHeight="1" spans="2:10" x14ac:dyDescent="0.25">
      <c r="B15" s="29">
        <v>2034</v>
      </c>
      <c r="C15" s="32">
        <v>66</v>
      </c>
      <c r="D15" s="69">
        <v>0</v>
      </c>
      <c r="E15" s="69">
        <v>104911</v>
      </c>
      <c r="F15" s="69">
        <v>104911</v>
      </c>
      <c r="G15" s="69">
        <v>71826</v>
      </c>
      <c r="H15" s="69">
        <v>36428</v>
      </c>
      <c r="I15" s="69">
        <v>318076</v>
      </c>
      <c r="J15" s="32" t="s">
        <v>73</v>
      </c>
    </row>
    <row r="16" ht="19" customHeight="1" spans="2:10" x14ac:dyDescent="0.25">
      <c r="B16" s="33">
        <v>2035</v>
      </c>
      <c r="C16" s="35">
        <v>67</v>
      </c>
      <c r="D16" s="68">
        <v>0</v>
      </c>
      <c r="E16" s="68">
        <v>0</v>
      </c>
      <c r="F16" s="68">
        <v>0</v>
      </c>
      <c r="G16" s="68">
        <v>0</v>
      </c>
      <c r="H16" s="68">
        <v>34534</v>
      </c>
      <c r="I16" s="68">
        <v>34534</v>
      </c>
      <c r="J16" s="35" t="s">
        <v>73</v>
      </c>
    </row>
    <row r="17" ht="19" customHeight="1" spans="2:10" x14ac:dyDescent="0.25">
      <c r="B17" s="29">
        <v>2036</v>
      </c>
      <c r="C17" s="32">
        <v>68</v>
      </c>
      <c r="D17" s="69">
        <v>0</v>
      </c>
      <c r="E17" s="69">
        <v>51360</v>
      </c>
      <c r="F17" s="69">
        <v>51360</v>
      </c>
      <c r="G17" s="69">
        <v>0</v>
      </c>
      <c r="H17" s="69">
        <v>90820</v>
      </c>
      <c r="I17" s="69">
        <v>193540</v>
      </c>
      <c r="J17" s="32" t="s">
        <v>73</v>
      </c>
    </row>
    <row r="18" ht="19" customHeight="1" spans="2:10" x14ac:dyDescent="0.25">
      <c r="B18" s="33">
        <v>2037</v>
      </c>
      <c r="C18" s="35">
        <v>69</v>
      </c>
      <c r="D18" s="68">
        <v>0</v>
      </c>
      <c r="E18" s="68">
        <v>19266</v>
      </c>
      <c r="F18" s="68">
        <v>19266</v>
      </c>
      <c r="G18" s="68">
        <v>0</v>
      </c>
      <c r="H18" s="68">
        <v>63595</v>
      </c>
      <c r="I18" s="68">
        <v>102127</v>
      </c>
      <c r="J18" s="35" t="s">
        <v>73</v>
      </c>
    </row>
    <row r="19" ht="19" customHeight="1" spans="2:10" x14ac:dyDescent="0.25">
      <c r="B19" s="29">
        <v>2038</v>
      </c>
      <c r="C19" s="32">
        <v>70</v>
      </c>
      <c r="D19" s="69">
        <v>0</v>
      </c>
      <c r="E19" s="69">
        <v>5078</v>
      </c>
      <c r="F19" s="69">
        <v>5078</v>
      </c>
      <c r="G19" s="69">
        <v>0</v>
      </c>
      <c r="H19" s="69">
        <v>56315</v>
      </c>
      <c r="I19" s="69">
        <v>66471</v>
      </c>
      <c r="J19" s="32" t="s">
        <v>73</v>
      </c>
    </row>
    <row r="20" ht="19" customHeight="1" spans="2:10" x14ac:dyDescent="0.25">
      <c r="B20" s="33">
        <v>2039</v>
      </c>
      <c r="C20" s="35">
        <v>71</v>
      </c>
      <c r="D20" s="68">
        <v>0</v>
      </c>
      <c r="E20" s="68">
        <v>23911</v>
      </c>
      <c r="F20" s="68">
        <v>23911</v>
      </c>
      <c r="G20" s="68">
        <v>0</v>
      </c>
      <c r="H20" s="68">
        <v>0</v>
      </c>
      <c r="I20" s="68">
        <v>47822</v>
      </c>
      <c r="J20" s="35" t="s">
        <v>73</v>
      </c>
    </row>
    <row r="21" ht="19" customHeight="1" spans="2:10" x14ac:dyDescent="0.25">
      <c r="B21" s="73" t="s">
        <v>218</v>
      </c>
      <c r="C21" s="32"/>
      <c r="D21" s="74">
        <v>0</v>
      </c>
      <c r="E21" s="74">
        <v>221358</v>
      </c>
      <c r="F21" s="74">
        <v>221358</v>
      </c>
      <c r="G21" s="74">
        <v>127028</v>
      </c>
      <c r="H21" s="74">
        <v>283782</v>
      </c>
      <c r="I21" s="74">
        <v>853526</v>
      </c>
      <c r="J21" s="75" t="s">
        <v>222</v>
      </c>
    </row>
    <row r="23" ht="24" customHeight="1" spans="2:10" x14ac:dyDescent="0.25">
      <c r="B23" s="67" t="s">
        <v>223</v>
      </c>
      <c r="C23" s="67"/>
      <c r="D23" s="67"/>
      <c r="E23" s="67"/>
      <c r="F23" s="67"/>
      <c r="G23" s="67"/>
      <c r="H23" s="67"/>
      <c r="I23" s="67"/>
      <c r="J23" s="67"/>
    </row>
    <row r="24" ht="16" customHeight="1" spans="2:10" x14ac:dyDescent="0.25">
      <c r="B24" s="25" t="s">
        <v>224</v>
      </c>
      <c r="C24" s="25"/>
      <c r="D24" s="25"/>
      <c r="E24" s="25"/>
      <c r="F24" s="25"/>
      <c r="G24" s="25"/>
      <c r="H24" s="25"/>
      <c r="I24" s="25"/>
      <c r="J24" s="25"/>
    </row>
    <row r="25" ht="30" customHeight="1" spans="2:10" x14ac:dyDescent="0.25">
      <c r="B25" s="27" t="s">
        <v>149</v>
      </c>
      <c r="C25" s="28" t="s">
        <v>71</v>
      </c>
      <c r="D25" s="28" t="s">
        <v>213</v>
      </c>
      <c r="E25" s="28" t="s">
        <v>214</v>
      </c>
      <c r="F25" s="28" t="s">
        <v>215</v>
      </c>
      <c r="G25" s="28" t="s">
        <v>95</v>
      </c>
      <c r="H25" s="28" t="s">
        <v>96</v>
      </c>
      <c r="I25" s="28" t="s">
        <v>216</v>
      </c>
      <c r="J25" s="28" t="s">
        <v>50</v>
      </c>
    </row>
    <row r="26" ht="19" customHeight="1" spans="2:10" x14ac:dyDescent="0.25">
      <c r="B26" s="33">
        <v>2040</v>
      </c>
      <c r="C26" s="35">
        <v>72</v>
      </c>
      <c r="D26" s="68">
        <v>25523</v>
      </c>
      <c r="E26" s="68">
        <v>26505</v>
      </c>
      <c r="F26" s="68">
        <v>52028</v>
      </c>
      <c r="G26" s="68">
        <v>0</v>
      </c>
      <c r="H26" s="68">
        <v>0</v>
      </c>
      <c r="I26" s="68">
        <v>104056</v>
      </c>
      <c r="J26" s="35" t="s">
        <v>225</v>
      </c>
    </row>
    <row r="27" ht="19" customHeight="1" spans="2:10" x14ac:dyDescent="0.25">
      <c r="B27" s="29">
        <v>2041</v>
      </c>
      <c r="C27" s="32">
        <v>73</v>
      </c>
      <c r="D27" s="69">
        <v>23260</v>
      </c>
      <c r="E27" s="69">
        <v>0</v>
      </c>
      <c r="F27" s="69">
        <v>0</v>
      </c>
      <c r="G27" s="69">
        <v>0</v>
      </c>
      <c r="H27" s="69">
        <v>0</v>
      </c>
      <c r="I27" s="69">
        <v>23260</v>
      </c>
      <c r="J27" s="32" t="s">
        <v>73</v>
      </c>
    </row>
    <row r="28" ht="19" customHeight="1" spans="2:10" x14ac:dyDescent="0.25">
      <c r="B28" s="33">
        <v>2042</v>
      </c>
      <c r="C28" s="35">
        <v>74</v>
      </c>
      <c r="D28" s="68">
        <v>25211</v>
      </c>
      <c r="E28" s="68">
        <v>60559</v>
      </c>
      <c r="F28" s="68">
        <v>85770</v>
      </c>
      <c r="G28" s="68">
        <v>0</v>
      </c>
      <c r="H28" s="68">
        <v>0</v>
      </c>
      <c r="I28" s="68">
        <v>171540</v>
      </c>
      <c r="J28" s="35" t="s">
        <v>73</v>
      </c>
    </row>
    <row r="29" ht="19" customHeight="1" spans="2:10" x14ac:dyDescent="0.25">
      <c r="B29" s="29">
        <v>2043</v>
      </c>
      <c r="C29" s="32">
        <v>75</v>
      </c>
      <c r="D29" s="69">
        <v>20886</v>
      </c>
      <c r="E29" s="69">
        <v>0</v>
      </c>
      <c r="F29" s="69">
        <v>0</v>
      </c>
      <c r="G29" s="69">
        <v>0</v>
      </c>
      <c r="H29" s="69">
        <v>0</v>
      </c>
      <c r="I29" s="69">
        <v>20886</v>
      </c>
      <c r="J29" s="32" t="s">
        <v>73</v>
      </c>
    </row>
    <row r="30" ht="19" customHeight="1" spans="2:10" x14ac:dyDescent="0.25">
      <c r="B30" s="33">
        <v>2044</v>
      </c>
      <c r="C30" s="35">
        <v>76</v>
      </c>
      <c r="D30" s="68">
        <v>22282</v>
      </c>
      <c r="E30" s="68">
        <v>0</v>
      </c>
      <c r="F30" s="68">
        <v>16026</v>
      </c>
      <c r="G30" s="68">
        <v>0</v>
      </c>
      <c r="H30" s="68">
        <v>0</v>
      </c>
      <c r="I30" s="68">
        <v>38308</v>
      </c>
      <c r="J30" s="35" t="s">
        <v>73</v>
      </c>
    </row>
    <row r="31" ht="19" customHeight="1" spans="2:10" x14ac:dyDescent="0.25">
      <c r="B31" s="29">
        <v>2045</v>
      </c>
      <c r="C31" s="32">
        <v>77</v>
      </c>
      <c r="D31" s="69">
        <v>22002</v>
      </c>
      <c r="E31" s="69">
        <v>0</v>
      </c>
      <c r="F31" s="69">
        <v>4447</v>
      </c>
      <c r="G31" s="69">
        <v>0</v>
      </c>
      <c r="H31" s="69">
        <v>0</v>
      </c>
      <c r="I31" s="69">
        <v>26449</v>
      </c>
      <c r="J31" s="32" t="s">
        <v>73</v>
      </c>
    </row>
    <row r="32" ht="19" customHeight="1" spans="2:10" x14ac:dyDescent="0.25">
      <c r="B32" s="33">
        <v>2046</v>
      </c>
      <c r="C32" s="35">
        <v>78</v>
      </c>
      <c r="D32" s="68">
        <v>22396</v>
      </c>
      <c r="E32" s="68">
        <v>0</v>
      </c>
      <c r="F32" s="68">
        <v>0</v>
      </c>
      <c r="G32" s="68">
        <v>0</v>
      </c>
      <c r="H32" s="68">
        <v>0</v>
      </c>
      <c r="I32" s="68">
        <v>22396</v>
      </c>
      <c r="J32" s="35" t="s">
        <v>73</v>
      </c>
    </row>
    <row r="33" ht="19" customHeight="1" spans="2:10" x14ac:dyDescent="0.25">
      <c r="B33" s="29">
        <v>2047</v>
      </c>
      <c r="C33" s="32">
        <v>79</v>
      </c>
      <c r="D33" s="69">
        <v>24863</v>
      </c>
      <c r="E33" s="69">
        <v>24051</v>
      </c>
      <c r="F33" s="69">
        <v>48914</v>
      </c>
      <c r="G33" s="69">
        <v>0</v>
      </c>
      <c r="H33" s="69">
        <v>0</v>
      </c>
      <c r="I33" s="69">
        <v>97828</v>
      </c>
      <c r="J33" s="32" t="s">
        <v>73</v>
      </c>
    </row>
    <row r="34" ht="19" customHeight="1" spans="2:10" x14ac:dyDescent="0.25">
      <c r="B34" s="33">
        <v>2048</v>
      </c>
      <c r="C34" s="35">
        <v>80</v>
      </c>
      <c r="D34" s="68">
        <v>22434</v>
      </c>
      <c r="E34" s="68">
        <v>0</v>
      </c>
      <c r="F34" s="68">
        <v>0</v>
      </c>
      <c r="G34" s="68">
        <v>0</v>
      </c>
      <c r="H34" s="68">
        <v>0</v>
      </c>
      <c r="I34" s="68">
        <v>22434</v>
      </c>
      <c r="J34" s="35" t="s">
        <v>73</v>
      </c>
    </row>
    <row r="35" ht="19" customHeight="1" spans="2:10" x14ac:dyDescent="0.25">
      <c r="B35" s="29">
        <v>2049</v>
      </c>
      <c r="C35" s="32">
        <v>81</v>
      </c>
      <c r="D35" s="69">
        <v>25215</v>
      </c>
      <c r="E35" s="69">
        <v>0</v>
      </c>
      <c r="F35" s="69">
        <v>0</v>
      </c>
      <c r="G35" s="69">
        <v>0</v>
      </c>
      <c r="H35" s="69">
        <v>0</v>
      </c>
      <c r="I35" s="69">
        <v>25215</v>
      </c>
      <c r="J35" s="32" t="s">
        <v>73</v>
      </c>
    </row>
    <row r="36" ht="19" customHeight="1" spans="2:10" x14ac:dyDescent="0.25">
      <c r="B36" s="33">
        <v>2050</v>
      </c>
      <c r="C36" s="35">
        <v>82</v>
      </c>
      <c r="D36" s="68">
        <v>35309</v>
      </c>
      <c r="E36" s="68">
        <v>0</v>
      </c>
      <c r="F36" s="68">
        <v>0</v>
      </c>
      <c r="G36" s="68">
        <v>0</v>
      </c>
      <c r="H36" s="68">
        <v>0</v>
      </c>
      <c r="I36" s="68">
        <v>35309</v>
      </c>
      <c r="J36" s="35" t="s">
        <v>73</v>
      </c>
    </row>
    <row r="37" ht="19" customHeight="1" spans="2:10" x14ac:dyDescent="0.25">
      <c r="B37" s="29">
        <v>2051</v>
      </c>
      <c r="C37" s="32">
        <v>83</v>
      </c>
      <c r="D37" s="69">
        <v>37539</v>
      </c>
      <c r="E37" s="69">
        <v>0</v>
      </c>
      <c r="F37" s="69">
        <v>0</v>
      </c>
      <c r="G37" s="69">
        <v>0</v>
      </c>
      <c r="H37" s="69">
        <v>0</v>
      </c>
      <c r="I37" s="69">
        <v>37539</v>
      </c>
      <c r="J37" s="32" t="s">
        <v>73</v>
      </c>
    </row>
    <row r="38" ht="19" customHeight="1" spans="2:10" x14ac:dyDescent="0.25">
      <c r="B38" s="33">
        <v>2052</v>
      </c>
      <c r="C38" s="35">
        <v>84</v>
      </c>
      <c r="D38" s="68">
        <v>45462</v>
      </c>
      <c r="E38" s="68">
        <v>0</v>
      </c>
      <c r="F38" s="68">
        <v>0</v>
      </c>
      <c r="G38" s="68">
        <v>0</v>
      </c>
      <c r="H38" s="68">
        <v>0</v>
      </c>
      <c r="I38" s="68">
        <v>45462</v>
      </c>
      <c r="J38" s="35" t="s">
        <v>73</v>
      </c>
    </row>
    <row r="39" ht="19" customHeight="1" spans="2:10" x14ac:dyDescent="0.25">
      <c r="B39" s="29">
        <v>2053</v>
      </c>
      <c r="C39" s="32">
        <v>85</v>
      </c>
      <c r="D39" s="69">
        <v>48341</v>
      </c>
      <c r="E39" s="69">
        <v>0</v>
      </c>
      <c r="F39" s="69">
        <v>11650</v>
      </c>
      <c r="G39" s="69">
        <v>0</v>
      </c>
      <c r="H39" s="69">
        <v>0</v>
      </c>
      <c r="I39" s="69">
        <v>59991</v>
      </c>
      <c r="J39" s="32" t="s">
        <v>73</v>
      </c>
    </row>
    <row r="40" ht="19" customHeight="1" spans="2:10" x14ac:dyDescent="0.25">
      <c r="B40" s="33">
        <v>2054</v>
      </c>
      <c r="C40" s="35">
        <v>86</v>
      </c>
      <c r="D40" s="68">
        <v>50020</v>
      </c>
      <c r="E40" s="68">
        <v>36452</v>
      </c>
      <c r="F40" s="68">
        <v>86472</v>
      </c>
      <c r="G40" s="68">
        <v>0</v>
      </c>
      <c r="H40" s="68">
        <v>0</v>
      </c>
      <c r="I40" s="68">
        <v>172944</v>
      </c>
      <c r="J40" s="35" t="s">
        <v>73</v>
      </c>
    </row>
    <row r="41" ht="19" customHeight="1" spans="2:10" x14ac:dyDescent="0.25">
      <c r="B41" s="29">
        <v>2055</v>
      </c>
      <c r="C41" s="32">
        <v>87</v>
      </c>
      <c r="D41" s="69">
        <v>44878</v>
      </c>
      <c r="E41" s="69">
        <v>34010</v>
      </c>
      <c r="F41" s="69">
        <v>78888</v>
      </c>
      <c r="G41" s="69">
        <v>0</v>
      </c>
      <c r="H41" s="69">
        <v>0</v>
      </c>
      <c r="I41" s="69">
        <v>157776</v>
      </c>
      <c r="J41" s="32" t="s">
        <v>73</v>
      </c>
    </row>
    <row r="42" ht="19" customHeight="1" spans="2:10" x14ac:dyDescent="0.25">
      <c r="B42" s="33">
        <v>2056</v>
      </c>
      <c r="C42" s="35">
        <v>88</v>
      </c>
      <c r="D42" s="68">
        <v>39925</v>
      </c>
      <c r="E42" s="68">
        <v>0</v>
      </c>
      <c r="F42" s="68">
        <v>17567</v>
      </c>
      <c r="G42" s="68">
        <v>0</v>
      </c>
      <c r="H42" s="68">
        <v>0</v>
      </c>
      <c r="I42" s="68">
        <v>57492</v>
      </c>
      <c r="J42" s="35" t="s">
        <v>73</v>
      </c>
    </row>
    <row r="43" ht="19" customHeight="1" spans="2:10" x14ac:dyDescent="0.25">
      <c r="B43" s="29">
        <v>2057</v>
      </c>
      <c r="C43" s="32">
        <v>89</v>
      </c>
      <c r="D43" s="69">
        <v>41044</v>
      </c>
      <c r="E43" s="69">
        <v>0</v>
      </c>
      <c r="F43" s="69">
        <v>14243</v>
      </c>
      <c r="G43" s="69">
        <v>0</v>
      </c>
      <c r="H43" s="69">
        <v>0</v>
      </c>
      <c r="I43" s="69">
        <v>55287</v>
      </c>
      <c r="J43" s="32" t="s">
        <v>73</v>
      </c>
    </row>
    <row r="44" ht="19" customHeight="1" spans="2:10" x14ac:dyDescent="0.25">
      <c r="B44" s="33">
        <v>2058</v>
      </c>
      <c r="C44" s="35">
        <v>90</v>
      </c>
      <c r="D44" s="68">
        <v>42820</v>
      </c>
      <c r="E44" s="68">
        <v>157326</v>
      </c>
      <c r="F44" s="68">
        <v>200146</v>
      </c>
      <c r="G44" s="68">
        <v>0</v>
      </c>
      <c r="H44" s="68">
        <v>0</v>
      </c>
      <c r="I44" s="68">
        <v>400292</v>
      </c>
      <c r="J44" s="35" t="s">
        <v>73</v>
      </c>
    </row>
    <row r="45" ht="19" customHeight="1" spans="2:10" x14ac:dyDescent="0.25">
      <c r="B45" s="29">
        <v>2059</v>
      </c>
      <c r="C45" s="32">
        <v>91</v>
      </c>
      <c r="D45" s="69">
        <v>20776</v>
      </c>
      <c r="E45" s="69">
        <v>8593</v>
      </c>
      <c r="F45" s="69">
        <v>29369</v>
      </c>
      <c r="G45" s="69">
        <v>0</v>
      </c>
      <c r="H45" s="69">
        <v>0</v>
      </c>
      <c r="I45" s="69">
        <v>58738</v>
      </c>
      <c r="J45" s="32" t="s">
        <v>73</v>
      </c>
    </row>
    <row r="46" ht="19" customHeight="1" spans="2:10" x14ac:dyDescent="0.25">
      <c r="B46" s="33">
        <v>2060</v>
      </c>
      <c r="C46" s="35">
        <v>92</v>
      </c>
      <c r="D46" s="68">
        <v>18795</v>
      </c>
      <c r="E46" s="68">
        <v>60717</v>
      </c>
      <c r="F46" s="68">
        <v>79512</v>
      </c>
      <c r="G46" s="68">
        <v>0</v>
      </c>
      <c r="H46" s="68">
        <v>0</v>
      </c>
      <c r="I46" s="68">
        <v>159024</v>
      </c>
      <c r="J46" s="35" t="s">
        <v>73</v>
      </c>
    </row>
    <row r="47" ht="19" customHeight="1" spans="2:10" x14ac:dyDescent="0.25">
      <c r="B47" s="73" t="s">
        <v>218</v>
      </c>
      <c r="C47" s="32"/>
      <c r="D47" s="74">
        <v>658981</v>
      </c>
      <c r="E47" s="74">
        <v>408213</v>
      </c>
      <c r="F47" s="74">
        <v>725032</v>
      </c>
      <c r="G47" s="74">
        <v>0</v>
      </c>
      <c r="H47" s="74">
        <v>0</v>
      </c>
      <c r="I47" s="74">
        <v>1792226</v>
      </c>
      <c r="J47" s="75" t="s">
        <v>226</v>
      </c>
    </row>
    <row r="50" spans="2:14" x14ac:dyDescent="0.25">
      <c r="B50" s="40" t="s">
        <v>67</v>
      </c>
      <c r="C50" s="40"/>
      <c r="D50" s="40"/>
      <c r="E50" s="40"/>
      <c r="F50" s="40"/>
      <c r="G50" s="40"/>
      <c r="H50" s="40"/>
      <c r="I50" s="40"/>
      <c r="J50" s="40"/>
      <c r="K50" s="40"/>
      <c r="L50" s="40"/>
      <c r="M50" s="40"/>
      <c r="N50" s="40"/>
    </row>
  </sheetData>
  <autoFilter ref="B25:J25"/>
  <mergeCells count="8">
    <mergeCell ref="B2:N2"/>
    <mergeCell ref="B3:N3"/>
    <mergeCell ref="B5:J5"/>
    <mergeCell ref="B6:J6"/>
    <mergeCell ref="B12:J12"/>
    <mergeCell ref="B23:J23"/>
    <mergeCell ref="B24:J24"/>
    <mergeCell ref="B50:N50"/>
  </mergeCells>
  <pageSetup paperSize="9" orientation="landscape" fitToWidth="1" fitToHeight="0"/>
  <headerFooter>
    <oddFooter>&amp;L&amp;8BuildFi Technologies inc.&amp;C&amp;8Page &amp;P / &amp;N&amp;R&amp;8&amp;D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70"/>
  <sheetViews>
    <sheetView workbookViewId="0">
      <pane ySplit="52" topLeftCell="A53" activePane="bottomLeft" state="frozen"/>
      <selection pane="bottomLeft"/>
    </sheetView>
  </sheetViews>
  <sheetFormatPr defaultRowHeight="15" outlineLevelRow="0" outlineLevelCol="0" x14ac:dyDescent="55"/>
  <cols>
    <col min="1" max="1" width="3" customWidth="1"/>
    <col min="2" max="2" width="24" customWidth="1"/>
    <col min="3" max="7" width="18" customWidth="1"/>
    <col min="8" max="14" width="14" customWidth="1"/>
  </cols>
  <sheetData>
    <row r="1" ht="8" customHeight="1" x14ac:dyDescent="0.25"/>
    <row r="2" ht="28" customHeight="1" spans="2:14" x14ac:dyDescent="0.25">
      <c r="B2" s="41" t="s">
        <v>227</v>
      </c>
      <c r="C2" s="41"/>
      <c r="D2" s="41"/>
      <c r="E2" s="41"/>
      <c r="F2" s="41"/>
      <c r="G2" s="41"/>
      <c r="H2" s="41"/>
      <c r="I2" s="41"/>
      <c r="J2" s="41"/>
      <c r="K2" s="41"/>
      <c r="L2" s="41"/>
      <c r="M2" s="41"/>
      <c r="N2" s="41"/>
    </row>
    <row r="3" ht="16" customHeight="1" spans="2:14" x14ac:dyDescent="0.25">
      <c r="B3" s="42" t="s">
        <v>228</v>
      </c>
      <c r="C3" s="42"/>
      <c r="D3" s="42"/>
      <c r="E3" s="42"/>
      <c r="F3" s="42"/>
      <c r="G3" s="42"/>
      <c r="H3" s="42"/>
      <c r="I3" s="42"/>
      <c r="J3" s="42"/>
      <c r="K3" s="42"/>
      <c r="L3" s="42"/>
      <c r="M3" s="42"/>
      <c r="N3" s="42"/>
    </row>
    <row r="5" ht="24" customHeight="1" spans="2:14" x14ac:dyDescent="0.25">
      <c r="B5" s="18" t="s">
        <v>229</v>
      </c>
      <c r="C5" s="18"/>
      <c r="D5" s="18"/>
      <c r="E5" s="18"/>
      <c r="F5" s="18"/>
      <c r="G5" s="18"/>
      <c r="H5" s="18"/>
      <c r="I5" s="18"/>
      <c r="J5" s="18"/>
      <c r="K5" s="18"/>
      <c r="L5" s="18"/>
      <c r="M5" s="18"/>
      <c r="N5" s="18"/>
    </row>
    <row r="6" ht="16" customHeight="1" spans="2:14" x14ac:dyDescent="0.25">
      <c r="B6" s="26" t="s">
        <v>230</v>
      </c>
      <c r="C6" s="26"/>
      <c r="D6" s="26"/>
      <c r="E6" s="26"/>
      <c r="F6" s="26"/>
      <c r="G6" s="26"/>
      <c r="H6" s="26"/>
      <c r="I6" s="26"/>
      <c r="J6" s="26"/>
      <c r="K6" s="26"/>
      <c r="L6" s="26"/>
      <c r="M6" s="26"/>
      <c r="N6" s="26"/>
    </row>
    <row r="7" ht="30" customHeight="1" spans="2:7" x14ac:dyDescent="0.25">
      <c r="B7" s="27" t="s">
        <v>150</v>
      </c>
      <c r="C7" s="28" t="s">
        <v>231</v>
      </c>
      <c r="D7" s="28" t="s">
        <v>232</v>
      </c>
      <c r="E7" s="28" t="s">
        <v>98</v>
      </c>
      <c r="F7" s="28" t="s">
        <v>186</v>
      </c>
      <c r="G7" s="28" t="s">
        <v>233</v>
      </c>
    </row>
    <row r="8" ht="19" customHeight="1" spans="2:7" x14ac:dyDescent="0.25">
      <c r="B8" s="76">
        <v>0</v>
      </c>
      <c r="C8" s="34">
        <v>0</v>
      </c>
      <c r="D8" s="34">
        <v>0</v>
      </c>
      <c r="E8" s="34">
        <f>C8+D8</f>
        <v>0</v>
      </c>
      <c r="F8" s="51">
        <f>IFERROR(E8/B8,0)</f>
        <v>0</v>
      </c>
      <c r="G8" s="51">
        <v>0.14</v>
      </c>
    </row>
    <row r="9" ht="19" customHeight="1" spans="2:7" x14ac:dyDescent="0.25">
      <c r="B9" s="77">
        <v>20000</v>
      </c>
      <c r="C9" s="36">
        <v>415</v>
      </c>
      <c r="D9" s="36">
        <v>147</v>
      </c>
      <c r="E9" s="36">
        <f>C9+D9</f>
        <v>561</v>
      </c>
      <c r="F9" s="38">
        <f>IFERROR(E9/B9,0)</f>
        <v>0.02807406000000002</v>
      </c>
      <c r="G9" s="38">
        <v>0.2569</v>
      </c>
    </row>
    <row r="10" ht="19" customHeight="1" spans="2:7" x14ac:dyDescent="0.25">
      <c r="B10" s="76">
        <v>40000</v>
      </c>
      <c r="C10" s="34">
        <v>2753</v>
      </c>
      <c r="D10" s="34">
        <v>2947</v>
      </c>
      <c r="E10" s="34">
        <f>C10+D10</f>
        <v>5699</v>
      </c>
      <c r="F10" s="51">
        <f>IFERROR(E10/B10,0)</f>
        <v>0.14248703000000001</v>
      </c>
      <c r="G10" s="51">
        <v>0.2569</v>
      </c>
    </row>
    <row r="11" ht="19" customHeight="1" spans="2:7" x14ac:dyDescent="0.25">
      <c r="B11" s="77">
        <v>60000</v>
      </c>
      <c r="C11" s="36">
        <v>5171</v>
      </c>
      <c r="D11" s="36">
        <v>6029</v>
      </c>
      <c r="E11" s="36">
        <f>C11+D11</f>
        <v>11200</v>
      </c>
      <c r="F11" s="38">
        <f>IFERROR(E11/B11,0)</f>
        <v>0.18667325625</v>
      </c>
      <c r="G11" s="38">
        <v>0.361175</v>
      </c>
    </row>
    <row r="12" ht="19" customHeight="1" spans="2:7" x14ac:dyDescent="0.25">
      <c r="B12" s="76">
        <v>80000</v>
      </c>
      <c r="C12" s="34">
        <v>8594</v>
      </c>
      <c r="D12" s="34">
        <v>9829</v>
      </c>
      <c r="E12" s="34">
        <f>C12+D12</f>
        <v>18424</v>
      </c>
      <c r="F12" s="51">
        <f>IFERROR(E12/B12,0)</f>
        <v>0.2302986921875</v>
      </c>
      <c r="G12" s="51">
        <v>0.361175</v>
      </c>
    </row>
    <row r="13" ht="19" customHeight="1" spans="2:7" x14ac:dyDescent="0.25">
      <c r="B13" s="77">
        <v>100000</v>
      </c>
      <c r="C13" s="36">
        <v>12018</v>
      </c>
      <c r="D13" s="36">
        <v>13629</v>
      </c>
      <c r="E13" s="36">
        <f>C13+D13</f>
        <v>25647</v>
      </c>
      <c r="F13" s="38">
        <f>IFERROR(E13/B13,0)</f>
        <v>0.25647395375</v>
      </c>
      <c r="G13" s="38">
        <v>0.361175</v>
      </c>
    </row>
    <row r="14" ht="19" customHeight="1" spans="2:7" x14ac:dyDescent="0.25">
      <c r="B14" s="76">
        <v>120000</v>
      </c>
      <c r="C14" s="34">
        <v>15577</v>
      </c>
      <c r="D14" s="34">
        <v>17993</v>
      </c>
      <c r="E14" s="34">
        <f>C14+D14</f>
        <v>33570</v>
      </c>
      <c r="F14" s="51">
        <f>IFERROR(E14/B14,0)</f>
        <v>0.27975086458333337</v>
      </c>
      <c r="G14" s="51">
        <v>0.45709999999999995</v>
      </c>
    </row>
    <row r="15" ht="19" customHeight="1" spans="2:7" x14ac:dyDescent="0.25">
      <c r="B15" s="77">
        <v>150000</v>
      </c>
      <c r="C15" s="36">
        <v>22090</v>
      </c>
      <c r="D15" s="36">
        <v>25504</v>
      </c>
      <c r="E15" s="36">
        <f>C15+D15</f>
        <v>47594</v>
      </c>
      <c r="F15" s="38">
        <f>IFERROR(E15/B15,0)</f>
        <v>0.3172921083333334</v>
      </c>
      <c r="G15" s="38">
        <v>0.4746</v>
      </c>
    </row>
    <row r="16" ht="19" customHeight="1" spans="2:7" x14ac:dyDescent="0.25">
      <c r="B16" s="76">
        <v>200000</v>
      </c>
      <c r="C16" s="34">
        <v>33410</v>
      </c>
      <c r="D16" s="34">
        <v>38379</v>
      </c>
      <c r="E16" s="34">
        <f>C16+D16</f>
        <v>71789</v>
      </c>
      <c r="F16" s="51">
        <f>IFERROR(E16/B16,0)</f>
        <v>0.35894372125</v>
      </c>
      <c r="G16" s="51">
        <v>0.49965</v>
      </c>
    </row>
    <row r="17" ht="19" customHeight="1" spans="2:7" x14ac:dyDescent="0.25">
      <c r="B17" s="77">
        <v>250000</v>
      </c>
      <c r="C17" s="36">
        <v>45518</v>
      </c>
      <c r="D17" s="36">
        <v>51254</v>
      </c>
      <c r="E17" s="36">
        <f>C17+D17</f>
        <v>96771</v>
      </c>
      <c r="F17" s="38">
        <f>IFERROR(E17/B17,0)</f>
        <v>0.387084977</v>
      </c>
      <c r="G17" s="38">
        <v>0.49965</v>
      </c>
    </row>
    <row r="18" ht="19" customHeight="1" spans="2:7" x14ac:dyDescent="0.25">
      <c r="B18" s="76">
        <v>300000</v>
      </c>
      <c r="C18" s="34">
        <v>59012</v>
      </c>
      <c r="D18" s="34">
        <v>64129</v>
      </c>
      <c r="E18" s="34">
        <f>C18+D18</f>
        <v>123140</v>
      </c>
      <c r="F18" s="51">
        <f>IFERROR(E18/B18,0)</f>
        <v>0.4104681515</v>
      </c>
      <c r="G18" s="51">
        <v>0.53305</v>
      </c>
    </row>
    <row r="20" ht="24" customHeight="1" spans="2:14" x14ac:dyDescent="0.25">
      <c r="B20" s="18" t="s">
        <v>234</v>
      </c>
      <c r="C20" s="18"/>
      <c r="D20" s="18"/>
      <c r="E20" s="18"/>
      <c r="F20" s="18"/>
      <c r="G20" s="18"/>
      <c r="H20" s="18"/>
      <c r="I20" s="18"/>
      <c r="J20" s="18"/>
      <c r="K20" s="18"/>
      <c r="L20" s="18"/>
      <c r="M20" s="18"/>
      <c r="N20" s="18"/>
    </row>
    <row r="22" ht="30" customHeight="1" spans="2:6" x14ac:dyDescent="0.25">
      <c r="B22" s="27" t="s">
        <v>46</v>
      </c>
      <c r="C22" s="28" t="s">
        <v>235</v>
      </c>
      <c r="D22" s="28" t="s">
        <v>48</v>
      </c>
      <c r="E22" s="28" t="s">
        <v>49</v>
      </c>
      <c r="F22" s="28" t="s">
        <v>50</v>
      </c>
    </row>
    <row r="23" ht="19" customHeight="1" spans="2:6" x14ac:dyDescent="0.25">
      <c r="B23" s="29" t="s">
        <v>52</v>
      </c>
      <c r="C23" s="36">
        <v>1918601.0271193194</v>
      </c>
      <c r="D23" s="36">
        <v>1882044.255162345</v>
      </c>
      <c r="E23" s="36">
        <v>0</v>
      </c>
      <c r="F23" s="32"/>
    </row>
    <row r="24" ht="19" customHeight="1" spans="2:6" x14ac:dyDescent="0.25">
      <c r="B24" s="33" t="s">
        <v>57</v>
      </c>
      <c r="C24" s="51">
        <v>0.3146725570271117</v>
      </c>
      <c r="D24" s="51">
        <v>0.3116529319792363</v>
      </c>
      <c r="E24" s="35"/>
      <c r="F24" s="35"/>
    </row>
    <row r="25" ht="19" customHeight="1" spans="2:6" x14ac:dyDescent="0.25">
      <c r="B25" s="29" t="s">
        <v>56</v>
      </c>
      <c r="C25" s="32">
        <v>32</v>
      </c>
      <c r="D25" s="32">
        <v>32</v>
      </c>
      <c r="E25" s="32"/>
      <c r="F25" s="32"/>
    </row>
    <row r="26" ht="19" customHeight="1" spans="2:6" x14ac:dyDescent="0.25">
      <c r="B26" s="33"/>
      <c r="C26" s="35"/>
      <c r="D26" s="35"/>
      <c r="E26" s="35"/>
      <c r="F26" s="35"/>
    </row>
    <row r="27" ht="19" customHeight="1" spans="2:6" x14ac:dyDescent="0.25">
      <c r="B27" s="49" t="s">
        <v>236</v>
      </c>
      <c r="C27" s="32"/>
      <c r="D27" s="32"/>
      <c r="E27" s="36">
        <v>0</v>
      </c>
      <c r="F27" s="32"/>
    </row>
    <row r="28" ht="19" customHeight="1" spans="2:6" x14ac:dyDescent="0.25">
      <c r="B28" s="33"/>
      <c r="C28" s="35"/>
      <c r="D28" s="35"/>
      <c r="E28" s="35"/>
      <c r="F28" s="35"/>
    </row>
    <row r="30" ht="24" customHeight="1" spans="2:14" x14ac:dyDescent="0.25">
      <c r="B30" s="18" t="s">
        <v>237</v>
      </c>
      <c r="C30" s="18"/>
      <c r="D30" s="18"/>
      <c r="E30" s="18"/>
      <c r="F30" s="18"/>
      <c r="G30" s="18"/>
      <c r="H30" s="18"/>
      <c r="I30" s="18"/>
      <c r="J30" s="18"/>
      <c r="K30" s="18"/>
      <c r="L30" s="18"/>
      <c r="M30" s="18"/>
      <c r="N30" s="18"/>
    </row>
    <row r="32" spans="2:12" x14ac:dyDescent="0.25">
      <c r="B32" t="s">
        <v>149</v>
      </c>
      <c r="C32" t="s">
        <v>71</v>
      </c>
      <c r="D32" t="s">
        <v>105</v>
      </c>
      <c r="E32" t="s">
        <v>108</v>
      </c>
      <c r="F32" t="s">
        <v>238</v>
      </c>
      <c r="G32" t="s">
        <v>239</v>
      </c>
      <c r="H32" t="s">
        <v>215</v>
      </c>
      <c r="I32" t="s">
        <v>240</v>
      </c>
      <c r="J32" t="s">
        <v>241</v>
      </c>
      <c r="K32" t="s">
        <v>98</v>
      </c>
      <c r="L32" t="s">
        <v>151</v>
      </c>
    </row>
    <row r="50" ht="24" customHeight="1" spans="2:14" x14ac:dyDescent="0.25">
      <c r="B50" s="18" t="s">
        <v>242</v>
      </c>
      <c r="C50" s="18"/>
      <c r="D50" s="18"/>
      <c r="E50" s="18"/>
      <c r="F50" s="18"/>
      <c r="G50" s="18"/>
      <c r="H50" s="18"/>
      <c r="I50" s="18"/>
      <c r="J50" s="18"/>
      <c r="K50" s="18"/>
      <c r="L50" s="18"/>
      <c r="M50" s="18"/>
      <c r="N50" s="18"/>
    </row>
    <row r="52" ht="30" customHeight="1" spans="2:8" x14ac:dyDescent="0.25">
      <c r="B52" s="27" t="s">
        <v>149</v>
      </c>
      <c r="C52" s="28" t="s">
        <v>71</v>
      </c>
      <c r="D52" s="28" t="s">
        <v>150</v>
      </c>
      <c r="E52" s="28" t="s">
        <v>243</v>
      </c>
      <c r="F52" s="28" t="s">
        <v>244</v>
      </c>
      <c r="G52" s="28" t="s">
        <v>245</v>
      </c>
      <c r="H52" s="28" t="s">
        <v>246</v>
      </c>
    </row>
    <row r="53" ht="19" customHeight="1" spans="2:8" x14ac:dyDescent="0.25">
      <c r="B53" s="29">
        <v>2031</v>
      </c>
      <c r="C53" s="32">
        <v>63</v>
      </c>
      <c r="D53" s="36">
        <v>127806.86324747167</v>
      </c>
      <c r="E53" s="36">
        <v>72117.73312179153</v>
      </c>
      <c r="F53" s="78">
        <v>-55689.13012568014</v>
      </c>
      <c r="G53" s="38">
        <v>0.4146</v>
      </c>
      <c r="H53" s="32" t="s">
        <v>247</v>
      </c>
    </row>
    <row r="54" ht="19" customHeight="1" spans="2:8" x14ac:dyDescent="0.25">
      <c r="B54" s="33">
        <v>2032</v>
      </c>
      <c r="C54" s="35">
        <v>64</v>
      </c>
      <c r="D54" s="34">
        <v>135207.41637091836</v>
      </c>
      <c r="E54" s="34">
        <v>73632.20551734915</v>
      </c>
      <c r="F54" s="79">
        <v>-61575.21085356921</v>
      </c>
      <c r="G54" s="51">
        <v>0.4146</v>
      </c>
      <c r="H54" s="35" t="s">
        <v>247</v>
      </c>
    </row>
    <row r="55" ht="19" customHeight="1" spans="2:8" x14ac:dyDescent="0.25">
      <c r="B55" s="29">
        <v>2033</v>
      </c>
      <c r="C55" s="32">
        <v>65</v>
      </c>
      <c r="D55" s="36">
        <v>133171.80443281643</v>
      </c>
      <c r="E55" s="36">
        <v>75178.48183321347</v>
      </c>
      <c r="F55" s="78">
        <v>-57993.32259960295</v>
      </c>
      <c r="G55" s="38">
        <v>0.4146</v>
      </c>
      <c r="H55" s="32" t="s">
        <v>247</v>
      </c>
    </row>
    <row r="56" ht="19" customHeight="1" spans="2:8" x14ac:dyDescent="0.25">
      <c r="B56" s="33">
        <v>2034</v>
      </c>
      <c r="C56" s="35">
        <v>66</v>
      </c>
      <c r="D56" s="34">
        <v>142666.23051134206</v>
      </c>
      <c r="E56" s="34">
        <v>76757.22995171095</v>
      </c>
      <c r="F56" s="79">
        <v>-65909.00055963111</v>
      </c>
      <c r="G56" s="51">
        <v>0.4146</v>
      </c>
      <c r="H56" s="35" t="s">
        <v>247</v>
      </c>
    </row>
    <row r="57" ht="19" customHeight="1" spans="2:8" x14ac:dyDescent="0.25">
      <c r="B57" s="29">
        <v>2035</v>
      </c>
      <c r="C57" s="32">
        <v>67</v>
      </c>
      <c r="D57" s="36">
        <v>133300.36378207128</v>
      </c>
      <c r="E57" s="36">
        <v>78369.13178069687</v>
      </c>
      <c r="F57" s="78">
        <v>-54931.2320013744</v>
      </c>
      <c r="G57" s="38">
        <v>0.4146</v>
      </c>
      <c r="H57" s="32" t="s">
        <v>247</v>
      </c>
    </row>
    <row r="58" ht="19" customHeight="1" spans="2:8" x14ac:dyDescent="0.25">
      <c r="B58" s="33">
        <v>2036</v>
      </c>
      <c r="C58" s="35">
        <v>68</v>
      </c>
      <c r="D58" s="34">
        <v>166502.1948879107</v>
      </c>
      <c r="E58" s="34">
        <v>80014.8835480915</v>
      </c>
      <c r="F58" s="79">
        <v>-86487.3113398192</v>
      </c>
      <c r="G58" s="51">
        <v>0.4146</v>
      </c>
      <c r="H58" s="35" t="s">
        <v>247</v>
      </c>
    </row>
    <row r="59" ht="19" customHeight="1" spans="2:8" x14ac:dyDescent="0.25">
      <c r="B59" s="29">
        <v>2037</v>
      </c>
      <c r="C59" s="32">
        <v>69</v>
      </c>
      <c r="D59" s="36">
        <v>151530.80658265573</v>
      </c>
      <c r="E59" s="36">
        <v>81695.1961026014</v>
      </c>
      <c r="F59" s="78">
        <v>-69835.61048005433</v>
      </c>
      <c r="G59" s="38">
        <v>0.4146</v>
      </c>
      <c r="H59" s="32" t="s">
        <v>247</v>
      </c>
    </row>
    <row r="60" ht="19" customHeight="1" spans="2:8" x14ac:dyDescent="0.25">
      <c r="B60" s="33">
        <v>2038</v>
      </c>
      <c r="C60" s="35">
        <v>70</v>
      </c>
      <c r="D60" s="34">
        <v>159451.16247774637</v>
      </c>
      <c r="E60" s="34">
        <v>83410.79522075604</v>
      </c>
      <c r="F60" s="79">
        <v>-76040.36725699033</v>
      </c>
      <c r="G60" s="51">
        <v>0.4146</v>
      </c>
      <c r="H60" s="35" t="s">
        <v>247</v>
      </c>
    </row>
    <row r="61" ht="19" customHeight="1" spans="2:8" x14ac:dyDescent="0.25">
      <c r="B61" s="29">
        <v>2039</v>
      </c>
      <c r="C61" s="32">
        <v>71</v>
      </c>
      <c r="D61" s="36">
        <v>154802.66477463563</v>
      </c>
      <c r="E61" s="36">
        <v>85162.4219203919</v>
      </c>
      <c r="F61" s="78">
        <v>-69640.24285424373</v>
      </c>
      <c r="G61" s="38">
        <v>0.4146</v>
      </c>
      <c r="H61" s="32" t="s">
        <v>247</v>
      </c>
    </row>
    <row r="62" ht="19" customHeight="1" spans="2:8" x14ac:dyDescent="0.25">
      <c r="B62" s="33">
        <v>2040</v>
      </c>
      <c r="C62" s="35">
        <v>72</v>
      </c>
      <c r="D62" s="34">
        <v>148897.68368545332</v>
      </c>
      <c r="E62" s="34">
        <v>86950.83278072011</v>
      </c>
      <c r="F62" s="79">
        <v>-61946.850904733205</v>
      </c>
      <c r="G62" s="51">
        <v>0.4146</v>
      </c>
      <c r="H62" s="35" t="s">
        <v>247</v>
      </c>
    </row>
    <row r="63" ht="19" customHeight="1" spans="2:8" x14ac:dyDescent="0.25">
      <c r="B63" s="29">
        <v>2041</v>
      </c>
      <c r="C63" s="32">
        <v>73</v>
      </c>
      <c r="D63" s="36">
        <v>151743.97367556544</v>
      </c>
      <c r="E63" s="36">
        <v>88776.80026911524</v>
      </c>
      <c r="F63" s="78">
        <v>-62967.17340645021</v>
      </c>
      <c r="G63" s="38">
        <v>0.4146</v>
      </c>
      <c r="H63" s="32" t="s">
        <v>247</v>
      </c>
    </row>
    <row r="64" ht="19" customHeight="1" spans="2:8" x14ac:dyDescent="0.25">
      <c r="B64" s="33">
        <v>2042</v>
      </c>
      <c r="C64" s="35">
        <v>74</v>
      </c>
      <c r="D64" s="34">
        <v>168239.88191004092</v>
      </c>
      <c r="E64" s="34">
        <v>90641.11307476666</v>
      </c>
      <c r="F64" s="79">
        <v>-77598.76883527426</v>
      </c>
      <c r="G64" s="51">
        <v>0.4146</v>
      </c>
      <c r="H64" s="35" t="s">
        <v>247</v>
      </c>
    </row>
    <row r="65" ht="19" customHeight="1" spans="2:8" x14ac:dyDescent="0.25">
      <c r="B65" s="29">
        <v>2043</v>
      </c>
      <c r="C65" s="32">
        <v>75</v>
      </c>
      <c r="D65" s="36">
        <v>141659.89485921158</v>
      </c>
      <c r="E65" s="36">
        <v>92544.57644933675</v>
      </c>
      <c r="F65" s="78">
        <v>-49115.31840987483</v>
      </c>
      <c r="G65" s="38">
        <v>0.4146</v>
      </c>
      <c r="H65" s="32" t="s">
        <v>247</v>
      </c>
    </row>
    <row r="66" ht="19" customHeight="1" spans="2:8" x14ac:dyDescent="0.25">
      <c r="B66" s="33">
        <v>2044</v>
      </c>
      <c r="C66" s="35">
        <v>76</v>
      </c>
      <c r="D66" s="34">
        <v>164172.26586883137</v>
      </c>
      <c r="E66" s="34">
        <v>94488.01255477281</v>
      </c>
      <c r="F66" s="79">
        <v>-69684.25331405856</v>
      </c>
      <c r="G66" s="51">
        <v>0.4146</v>
      </c>
      <c r="H66" s="35" t="s">
        <v>247</v>
      </c>
    </row>
    <row r="67" ht="19" customHeight="1" spans="2:8" x14ac:dyDescent="0.25">
      <c r="B67" s="29">
        <v>2045</v>
      </c>
      <c r="C67" s="32">
        <v>77</v>
      </c>
      <c r="D67" s="36">
        <v>155515.54810632387</v>
      </c>
      <c r="E67" s="36">
        <v>96472.26081842302</v>
      </c>
      <c r="F67" s="78">
        <v>-59043.28728790085</v>
      </c>
      <c r="G67" s="38">
        <v>0.4146</v>
      </c>
      <c r="H67" s="32" t="s">
        <v>247</v>
      </c>
    </row>
    <row r="70" spans="2:14" x14ac:dyDescent="0.25">
      <c r="B70" s="40" t="s">
        <v>67</v>
      </c>
      <c r="C70" s="40"/>
      <c r="D70" s="40"/>
      <c r="E70" s="40"/>
      <c r="F70" s="40"/>
      <c r="G70" s="40"/>
      <c r="H70" s="40"/>
      <c r="I70" s="40"/>
      <c r="J70" s="40"/>
      <c r="K70" s="40"/>
      <c r="L70" s="40"/>
      <c r="M70" s="40"/>
      <c r="N70" s="40"/>
    </row>
  </sheetData>
  <autoFilter ref="B52:H52"/>
  <mergeCells count="8">
    <mergeCell ref="B2:N2"/>
    <mergeCell ref="B3:N3"/>
    <mergeCell ref="B5:N5"/>
    <mergeCell ref="B6:N6"/>
    <mergeCell ref="B20:N20"/>
    <mergeCell ref="B30:N30"/>
    <mergeCell ref="B50:N50"/>
    <mergeCell ref="B70:N70"/>
  </mergeCells>
  <pageSetup paperSize="9" orientation="landscape" fitToWidth="1" fitToHeight="0"/>
  <headerFooter>
    <oddFooter>&amp;L&amp;8BuildFi Technologies inc.&amp;C&amp;8Page &amp;P / &amp;N&amp;R&amp;8&amp;D</oddFooter>
  </headerFooter>
  <rowBreaks count="1" manualBreakCount="1">
    <brk id="50" max="1683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33"/>
  <sheetViews>
    <sheetView workbookViewId="0">
      <pane ySplit="19" topLeftCell="A20" activePane="bottomLeft" state="frozen"/>
      <selection pane="bottomLeft"/>
    </sheetView>
  </sheetViews>
  <sheetFormatPr defaultRowHeight="15" outlineLevelRow="0" outlineLevelCol="0" x14ac:dyDescent="55"/>
  <cols>
    <col min="1" max="1" width="3" customWidth="1"/>
    <col min="2" max="2" width="24" customWidth="1"/>
    <col min="3" max="5" width="14" customWidth="1"/>
    <col min="6" max="6" width="30" customWidth="1"/>
    <col min="7" max="7" width="14" customWidth="1"/>
    <col min="8" max="10" width="12" customWidth="1"/>
    <col min="11" max="11" width="30" customWidth="1"/>
    <col min="12" max="14" width="14" customWidth="1"/>
  </cols>
  <sheetData>
    <row r="1" ht="8" customHeight="1" x14ac:dyDescent="0.25"/>
    <row r="2" ht="28" customHeight="1" spans="2:14" x14ac:dyDescent="0.25">
      <c r="B2" s="41" t="s">
        <v>248</v>
      </c>
      <c r="C2" s="41"/>
      <c r="D2" s="41"/>
      <c r="E2" s="41"/>
      <c r="F2" s="41"/>
      <c r="G2" s="41"/>
      <c r="H2" s="41"/>
      <c r="I2" s="41"/>
      <c r="J2" s="41"/>
      <c r="K2" s="41"/>
      <c r="L2" s="41"/>
      <c r="M2" s="41"/>
      <c r="N2" s="41"/>
    </row>
    <row r="5" ht="24" customHeight="1" spans="2:14" x14ac:dyDescent="0.25">
      <c r="B5" s="18" t="s">
        <v>249</v>
      </c>
      <c r="C5" s="18"/>
      <c r="D5" s="18"/>
      <c r="E5" s="18"/>
      <c r="F5" s="18"/>
      <c r="G5" s="18"/>
      <c r="H5" s="18"/>
      <c r="I5" s="18"/>
      <c r="J5" s="18"/>
      <c r="K5" s="18"/>
      <c r="L5" s="18"/>
      <c r="M5" s="18"/>
      <c r="N5" s="18"/>
    </row>
    <row r="6" ht="16" customHeight="1" spans="2:14" x14ac:dyDescent="0.25">
      <c r="B6" s="26" t="s">
        <v>250</v>
      </c>
      <c r="C6" s="26"/>
      <c r="D6" s="26"/>
      <c r="E6" s="26"/>
      <c r="F6" s="26"/>
      <c r="G6" s="26"/>
      <c r="H6" s="26"/>
      <c r="I6" s="26"/>
      <c r="J6" s="26"/>
      <c r="K6" s="26"/>
      <c r="L6" s="26"/>
      <c r="M6" s="26"/>
      <c r="N6" s="26"/>
    </row>
    <row r="7" ht="30" customHeight="1" spans="2:6" x14ac:dyDescent="0.25">
      <c r="B7" s="27" t="s">
        <v>251</v>
      </c>
      <c r="C7" s="28" t="s">
        <v>252</v>
      </c>
      <c r="D7" s="28" t="s">
        <v>253</v>
      </c>
      <c r="E7" s="28" t="s">
        <v>254</v>
      </c>
      <c r="F7" s="28" t="s">
        <v>255</v>
      </c>
    </row>
    <row r="8" ht="19" customHeight="1" spans="2:6" x14ac:dyDescent="0.25">
      <c r="B8" s="33" t="s">
        <v>256</v>
      </c>
      <c r="C8" s="80">
        <v>-3.950000000000003</v>
      </c>
      <c r="D8" s="34">
        <v>-77.95</v>
      </c>
      <c r="E8" s="34">
        <v>74</v>
      </c>
      <c r="F8" s="35"/>
    </row>
    <row r="9" ht="19" customHeight="1" spans="2:6" x14ac:dyDescent="0.25">
      <c r="B9" s="29" t="s">
        <v>257</v>
      </c>
      <c r="C9" s="81">
        <v>-77.95</v>
      </c>
      <c r="D9" s="36">
        <v>-31.95000000000001</v>
      </c>
      <c r="E9" s="36">
        <v>45.99999999999999</v>
      </c>
      <c r="F9" s="32"/>
    </row>
    <row r="10" ht="19" customHeight="1" spans="2:6" x14ac:dyDescent="0.25">
      <c r="B10" s="33" t="s">
        <v>258</v>
      </c>
      <c r="C10" s="80">
        <v>-37.95</v>
      </c>
      <c r="D10" s="34">
        <v>-73.95</v>
      </c>
      <c r="E10" s="34">
        <v>36</v>
      </c>
      <c r="F10" s="35"/>
    </row>
    <row r="11" ht="19" customHeight="1" spans="2:6" x14ac:dyDescent="0.25">
      <c r="B11" s="29" t="s">
        <v>259</v>
      </c>
      <c r="C11" s="81">
        <v>-67.95</v>
      </c>
      <c r="D11" s="36">
        <v>-59.95</v>
      </c>
      <c r="E11" s="36">
        <v>8</v>
      </c>
      <c r="F11" s="32"/>
    </row>
    <row r="12" ht="19" customHeight="1" spans="2:6" x14ac:dyDescent="0.25">
      <c r="B12" s="33" t="s">
        <v>260</v>
      </c>
      <c r="C12" s="80">
        <v>-57.95</v>
      </c>
      <c r="D12" s="34">
        <v>-51.95</v>
      </c>
      <c r="E12" s="34">
        <v>6</v>
      </c>
      <c r="F12" s="35"/>
    </row>
    <row r="13" ht="19" customHeight="1" spans="2:6" x14ac:dyDescent="0.25">
      <c r="B13" s="29" t="s">
        <v>261</v>
      </c>
      <c r="C13" s="81">
        <v>-49.95</v>
      </c>
      <c r="D13" s="36">
        <v>-55.95</v>
      </c>
      <c r="E13" s="36">
        <v>6</v>
      </c>
      <c r="F13" s="32"/>
    </row>
    <row r="14" ht="19" customHeight="1" spans="2:6" x14ac:dyDescent="0.25">
      <c r="B14" s="33" t="s">
        <v>262</v>
      </c>
      <c r="C14" s="80">
        <v>-49.95</v>
      </c>
      <c r="D14" s="34">
        <v>-53.95</v>
      </c>
      <c r="E14" s="34">
        <v>4</v>
      </c>
      <c r="F14" s="35"/>
    </row>
    <row r="15" ht="19" customHeight="1" spans="2:6" x14ac:dyDescent="0.25">
      <c r="B15" s="29" t="s">
        <v>263</v>
      </c>
      <c r="C15" s="81">
        <v>-59.95</v>
      </c>
      <c r="D15" s="36">
        <v>-55.95</v>
      </c>
      <c r="E15" s="36">
        <v>4</v>
      </c>
      <c r="F15" s="32"/>
    </row>
    <row r="17" ht="24" customHeight="1" spans="2:14" x14ac:dyDescent="0.25">
      <c r="B17" s="18" t="s">
        <v>264</v>
      </c>
      <c r="C17" s="18"/>
      <c r="D17" s="18"/>
      <c r="E17" s="18"/>
      <c r="F17" s="18"/>
      <c r="G17" s="18"/>
      <c r="H17" s="18"/>
      <c r="I17" s="18"/>
      <c r="J17" s="18"/>
      <c r="K17" s="18"/>
      <c r="L17" s="18"/>
      <c r="M17" s="18"/>
      <c r="N17" s="18"/>
    </row>
    <row r="18" ht="16" customHeight="1" spans="2:14" x14ac:dyDescent="0.25">
      <c r="B18" s="26" t="s">
        <v>265</v>
      </c>
      <c r="C18" s="26"/>
      <c r="D18" s="26"/>
      <c r="E18" s="26"/>
      <c r="F18" s="26"/>
      <c r="G18" s="26"/>
      <c r="H18" s="26"/>
      <c r="I18" s="26"/>
      <c r="J18" s="26"/>
      <c r="K18" s="26"/>
      <c r="L18" s="26"/>
      <c r="M18" s="26"/>
      <c r="N18" s="26"/>
    </row>
    <row r="19" ht="30" customHeight="1" spans="2:10" x14ac:dyDescent="0.25">
      <c r="B19" s="27" t="s">
        <v>266</v>
      </c>
      <c r="C19" s="28" t="s">
        <v>267</v>
      </c>
      <c r="D19" s="28" t="s">
        <v>268</v>
      </c>
      <c r="E19" s="28" t="s">
        <v>49</v>
      </c>
      <c r="F19" s="28" t="s">
        <v>269</v>
      </c>
      <c r="G19" s="28" t="s">
        <v>270</v>
      </c>
      <c r="H19" s="28" t="s">
        <v>271</v>
      </c>
      <c r="I19" s="28" t="s">
        <v>272</v>
      </c>
      <c r="J19" s="28" t="s">
        <v>273</v>
      </c>
    </row>
    <row r="20" ht="19" customHeight="1" spans="2:10" x14ac:dyDescent="0.25">
      <c r="B20" s="33" t="s">
        <v>274</v>
      </c>
      <c r="C20" s="35" t="s">
        <v>111</v>
      </c>
      <c r="D20" s="47">
        <v>0.8995</v>
      </c>
      <c r="E20" s="35" t="s">
        <v>111</v>
      </c>
      <c r="F20" s="34">
        <v>985943.927743378</v>
      </c>
      <c r="G20" s="34">
        <v>0</v>
      </c>
      <c r="H20" s="82">
        <v>84</v>
      </c>
      <c r="I20" s="35" t="s">
        <v>111</v>
      </c>
      <c r="J20" s="35" t="s">
        <v>275</v>
      </c>
    </row>
    <row r="28" ht="24" customHeight="1" spans="2:14" x14ac:dyDescent="0.25">
      <c r="B28" s="18" t="s">
        <v>276</v>
      </c>
      <c r="C28" s="18"/>
      <c r="D28" s="18"/>
      <c r="E28" s="18"/>
      <c r="F28" s="18"/>
      <c r="G28" s="18"/>
      <c r="H28" s="18"/>
      <c r="I28" s="18"/>
      <c r="J28" s="18"/>
      <c r="K28" s="18"/>
      <c r="L28" s="18"/>
      <c r="M28" s="18"/>
      <c r="N28" s="18"/>
    </row>
    <row r="30" spans="2:10" x14ac:dyDescent="0.25">
      <c r="B30" s="83" t="s">
        <v>277</v>
      </c>
      <c r="C30" s="83"/>
      <c r="D30" s="83"/>
      <c r="E30" s="83"/>
      <c r="F30" s="83"/>
      <c r="G30" s="83"/>
      <c r="H30" s="83"/>
      <c r="I30" s="83"/>
      <c r="J30" s="83"/>
    </row>
    <row r="33" spans="2:14" x14ac:dyDescent="0.25">
      <c r="B33" s="40" t="s">
        <v>67</v>
      </c>
      <c r="C33" s="40"/>
      <c r="D33" s="40"/>
      <c r="E33" s="40"/>
      <c r="F33" s="40"/>
      <c r="G33" s="40"/>
      <c r="H33" s="40"/>
      <c r="I33" s="40"/>
      <c r="J33" s="40"/>
      <c r="K33" s="40"/>
      <c r="L33" s="40"/>
      <c r="M33" s="40"/>
      <c r="N33" s="40"/>
    </row>
  </sheetData>
  <autoFilter ref="B19:J19"/>
  <mergeCells count="8">
    <mergeCell ref="B2:N2"/>
    <mergeCell ref="B5:N5"/>
    <mergeCell ref="B6:N6"/>
    <mergeCell ref="B17:N17"/>
    <mergeCell ref="B18:N18"/>
    <mergeCell ref="B28:N28"/>
    <mergeCell ref="B30:J30"/>
    <mergeCell ref="B33:N33"/>
  </mergeCells>
  <pageSetup paperSize="9" orientation="landscape" fitToWidth="1" fitToHeight="0"/>
  <headerFooter>
    <oddFooter>&amp;L&amp;8BuildFi Technologies inc.&amp;C&amp;8Page &amp;P / &amp;N&amp;R&amp;8&amp;D</oddFooter>
  </headerFooter>
  <rowBreaks count="1" manualBreakCount="1">
    <brk id="28" max="1683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8"/>
  <sheetViews>
    <sheetView workbookViewId="0">
      <pane ySplit="16" topLeftCell="A17" activePane="bottomLeft" state="frozen"/>
      <selection pane="bottomLeft"/>
    </sheetView>
  </sheetViews>
  <sheetFormatPr defaultRowHeight="15" outlineLevelRow="0" outlineLevelCol="0" x14ac:dyDescent="55"/>
  <cols>
    <col min="1" max="1" width="3" customWidth="1"/>
    <col min="2" max="2" width="28" customWidth="1"/>
    <col min="3" max="5" width="18" customWidth="1"/>
    <col min="6" max="6" width="32" customWidth="1"/>
    <col min="7" max="14" width="14" customWidth="1"/>
  </cols>
  <sheetData>
    <row r="1" ht="8" customHeight="1" x14ac:dyDescent="0.25"/>
    <row r="2" ht="28" customHeight="1" spans="2:14" x14ac:dyDescent="0.25">
      <c r="B2" s="41" t="s">
        <v>278</v>
      </c>
      <c r="C2" s="41"/>
      <c r="D2" s="41"/>
      <c r="E2" s="41"/>
      <c r="F2" s="41"/>
      <c r="G2" s="41"/>
      <c r="H2" s="41"/>
      <c r="I2" s="41"/>
      <c r="J2" s="41"/>
      <c r="K2" s="41"/>
      <c r="L2" s="41"/>
      <c r="M2" s="41"/>
      <c r="N2" s="41"/>
    </row>
    <row r="3" ht="16" customHeight="1" spans="2:14" x14ac:dyDescent="0.25">
      <c r="B3" s="42" t="s">
        <v>279</v>
      </c>
      <c r="C3" s="42"/>
      <c r="D3" s="42"/>
      <c r="E3" s="42"/>
      <c r="F3" s="42"/>
      <c r="G3" s="42"/>
      <c r="H3" s="42"/>
      <c r="I3" s="42"/>
      <c r="J3" s="42"/>
      <c r="K3" s="42"/>
      <c r="L3" s="42"/>
      <c r="M3" s="42"/>
      <c r="N3" s="42"/>
    </row>
    <row r="5" ht="24" customHeight="1" spans="2:14" x14ac:dyDescent="0.25">
      <c r="B5" s="18" t="s">
        <v>280</v>
      </c>
      <c r="C5" s="18"/>
      <c r="D5" s="18"/>
      <c r="E5" s="18"/>
      <c r="F5" s="18"/>
      <c r="G5" s="18"/>
      <c r="H5" s="18"/>
      <c r="I5" s="18"/>
      <c r="J5" s="18"/>
      <c r="K5" s="18"/>
      <c r="L5" s="18"/>
      <c r="M5" s="18"/>
      <c r="N5" s="18"/>
    </row>
    <row r="7" ht="30" customHeight="1" spans="2:6" x14ac:dyDescent="0.25">
      <c r="B7" s="27" t="s">
        <v>281</v>
      </c>
      <c r="C7" s="28" t="s">
        <v>55</v>
      </c>
      <c r="D7" s="28" t="s">
        <v>282</v>
      </c>
      <c r="E7" s="28" t="s">
        <v>283</v>
      </c>
      <c r="F7" s="28" t="s">
        <v>255</v>
      </c>
    </row>
    <row r="8" ht="19" customHeight="1" spans="2:6" x14ac:dyDescent="0.25">
      <c r="B8" s="33" t="s">
        <v>190</v>
      </c>
      <c r="C8" s="34">
        <v>-1200</v>
      </c>
      <c r="D8" s="34">
        <v>0</v>
      </c>
      <c r="E8" s="34">
        <v>-1200</v>
      </c>
      <c r="F8" s="35" t="s">
        <v>284</v>
      </c>
    </row>
    <row r="9" ht="19" customHeight="1" spans="2:6" x14ac:dyDescent="0.25">
      <c r="B9" s="29" t="s">
        <v>191</v>
      </c>
      <c r="C9" s="36">
        <v>743591.7313507048</v>
      </c>
      <c r="D9" s="36">
        <v>99264.29083930244</v>
      </c>
      <c r="E9" s="36">
        <v>842856.0221900073</v>
      </c>
      <c r="F9" s="32" t="s">
        <v>285</v>
      </c>
    </row>
    <row r="10" ht="19" customHeight="1" spans="2:6" x14ac:dyDescent="0.25">
      <c r="B10" s="33" t="s">
        <v>286</v>
      </c>
      <c r="C10" s="34">
        <v>1665093.286147499</v>
      </c>
      <c r="D10" s="34">
        <v>337896.4550559731</v>
      </c>
      <c r="E10" s="34">
        <v>2002989.741203472</v>
      </c>
      <c r="F10" s="35" t="s">
        <v>287</v>
      </c>
    </row>
    <row r="11" ht="19" customHeight="1" spans="2:6" x14ac:dyDescent="0.25">
      <c r="B11" s="29" t="s">
        <v>193</v>
      </c>
      <c r="C11" s="36">
        <v>3118903.2370013166</v>
      </c>
      <c r="D11" s="36">
        <v>827603.0724285368</v>
      </c>
      <c r="E11" s="36">
        <v>3946506.309429853</v>
      </c>
      <c r="F11" s="32" t="s">
        <v>288</v>
      </c>
    </row>
    <row r="12" ht="19" customHeight="1" spans="2:6" x14ac:dyDescent="0.25">
      <c r="B12" s="33" t="s">
        <v>194</v>
      </c>
      <c r="C12" s="34">
        <v>7037290.306083767</v>
      </c>
      <c r="D12" s="34">
        <v>2224767.194769811</v>
      </c>
      <c r="E12" s="34">
        <v>9262057.500853578</v>
      </c>
      <c r="F12" s="35" t="s">
        <v>289</v>
      </c>
    </row>
    <row r="14" ht="24" customHeight="1" spans="2:14" x14ac:dyDescent="0.25">
      <c r="B14" s="18" t="s">
        <v>290</v>
      </c>
      <c r="C14" s="18"/>
      <c r="D14" s="18"/>
      <c r="E14" s="18"/>
      <c r="F14" s="18"/>
      <c r="G14" s="18"/>
      <c r="H14" s="18"/>
      <c r="I14" s="18"/>
      <c r="J14" s="18"/>
      <c r="K14" s="18"/>
      <c r="L14" s="18"/>
      <c r="M14" s="18"/>
      <c r="N14" s="18"/>
    </row>
    <row r="16" ht="30" customHeight="1" spans="2:6" x14ac:dyDescent="0.25">
      <c r="B16" s="27" t="s">
        <v>291</v>
      </c>
      <c r="C16" s="28" t="s">
        <v>292</v>
      </c>
      <c r="D16" s="28" t="s">
        <v>136</v>
      </c>
      <c r="E16" s="28" t="s">
        <v>50</v>
      </c>
      <c r="F16" s="28"/>
    </row>
    <row r="17" ht="19" customHeight="1" spans="2:6" x14ac:dyDescent="0.25">
      <c r="B17" s="29" t="s">
        <v>293</v>
      </c>
      <c r="C17" s="36">
        <v>2002989.741203472</v>
      </c>
      <c r="D17" s="32" t="s">
        <v>294</v>
      </c>
      <c r="E17" s="32"/>
      <c r="F17" s="32" t="s">
        <v>295</v>
      </c>
    </row>
    <row r="18" ht="19" customHeight="1" spans="2:6" x14ac:dyDescent="0.25">
      <c r="B18" s="33" t="s">
        <v>296</v>
      </c>
      <c r="C18" s="34">
        <v>0</v>
      </c>
      <c r="D18" s="35" t="s">
        <v>297</v>
      </c>
      <c r="E18" s="35"/>
      <c r="F18" s="35" t="s">
        <v>298</v>
      </c>
    </row>
    <row r="19" ht="19" customHeight="1" spans="2:6" x14ac:dyDescent="0.25">
      <c r="B19" s="29" t="s">
        <v>299</v>
      </c>
      <c r="C19" s="36">
        <v>0</v>
      </c>
      <c r="D19" s="32" t="s">
        <v>300</v>
      </c>
      <c r="E19" s="32"/>
      <c r="F19" s="32" t="s">
        <v>301</v>
      </c>
    </row>
    <row r="20" ht="19" customHeight="1" spans="2:6" x14ac:dyDescent="0.25">
      <c r="B20" s="33" t="s">
        <v>302</v>
      </c>
      <c r="C20" s="34">
        <v>0</v>
      </c>
      <c r="D20" s="35" t="s">
        <v>303</v>
      </c>
      <c r="E20" s="35"/>
      <c r="F20" s="35" t="s">
        <v>304</v>
      </c>
    </row>
    <row r="21" ht="19" customHeight="1" spans="2:6" x14ac:dyDescent="0.25">
      <c r="B21" s="29" t="s">
        <v>305</v>
      </c>
      <c r="C21" s="36">
        <v>-337896.4550559731</v>
      </c>
      <c r="D21" s="32" t="s">
        <v>306</v>
      </c>
      <c r="E21" s="32"/>
      <c r="F21" s="32" t="s">
        <v>307</v>
      </c>
    </row>
    <row r="22" ht="19" customHeight="1" spans="2:6" x14ac:dyDescent="0.25">
      <c r="B22" s="33" t="s">
        <v>308</v>
      </c>
      <c r="C22" s="34">
        <v>0</v>
      </c>
      <c r="D22" s="35" t="s">
        <v>309</v>
      </c>
      <c r="E22" s="35"/>
      <c r="F22" s="35" t="s">
        <v>310</v>
      </c>
    </row>
    <row r="23" ht="19" customHeight="1" spans="2:6" x14ac:dyDescent="0.25">
      <c r="B23" s="29" t="s">
        <v>311</v>
      </c>
      <c r="C23" s="36">
        <v>-15015</v>
      </c>
      <c r="D23" s="32" t="s">
        <v>312</v>
      </c>
      <c r="E23" s="32"/>
      <c r="F23" s="32" t="s">
        <v>313</v>
      </c>
    </row>
    <row r="24" ht="19" customHeight="1" spans="2:6" x14ac:dyDescent="0.25">
      <c r="B24" s="33" t="s">
        <v>314</v>
      </c>
      <c r="C24" s="34">
        <v>0</v>
      </c>
      <c r="D24" s="35" t="s">
        <v>315</v>
      </c>
      <c r="E24" s="35"/>
      <c r="F24" s="35" t="s">
        <v>316</v>
      </c>
    </row>
    <row r="25" ht="19" customHeight="1" spans="2:6" x14ac:dyDescent="0.25">
      <c r="B25" s="49" t="s">
        <v>317</v>
      </c>
      <c r="C25" s="84">
        <v>1665093.286147499</v>
      </c>
      <c r="D25" s="32" t="s">
        <v>318</v>
      </c>
      <c r="E25" s="32"/>
      <c r="F25" s="32" t="s">
        <v>319</v>
      </c>
    </row>
    <row r="28" spans="2:14" x14ac:dyDescent="0.25">
      <c r="B28" s="40" t="s">
        <v>67</v>
      </c>
      <c r="C28" s="40"/>
      <c r="D28" s="40"/>
      <c r="E28" s="40"/>
      <c r="F28" s="40"/>
      <c r="G28" s="40"/>
      <c r="H28" s="40"/>
      <c r="I28" s="40"/>
      <c r="J28" s="40"/>
      <c r="K28" s="40"/>
      <c r="L28" s="40"/>
      <c r="M28" s="40"/>
      <c r="N28" s="40"/>
    </row>
  </sheetData>
  <autoFilter ref="B16:F16"/>
  <mergeCells count="5">
    <mergeCell ref="B2:N2"/>
    <mergeCell ref="B3:N3"/>
    <mergeCell ref="B5:N5"/>
    <mergeCell ref="B14:N14"/>
    <mergeCell ref="B28:N28"/>
  </mergeCells>
  <pageSetup paperSize="9" orientation="landscape" fitToWidth="1" fitToHeight="0"/>
  <headerFooter>
    <oddFooter>&amp;L&amp;8BuildFi Technologies inc.&amp;C&amp;8Page &amp;P / &amp;N&amp;R&amp;8&amp;D</oddFooter>
  </headerFooter>
  <rowBreaks count="1" manualBreakCount="1">
    <brk id="14" max="1683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11"/>
  <sheetFormatPr defaultRowHeight="15" outlineLevelRow="0" outlineLevelCol="0" x14ac:dyDescent="55"/>
  <cols>
    <col min="1" max="1" width="3" customWidth="1"/>
    <col min="2" max="2" width="26" customWidth="1"/>
    <col min="3" max="3" width="18" customWidth="1"/>
    <col min="4" max="4" width="15" customWidth="1"/>
    <col min="5" max="5" width="12" customWidth="1"/>
    <col min="6" max="6" width="15" customWidth="1"/>
    <col min="7" max="7" width="20" customWidth="1"/>
    <col min="8" max="8" width="16" customWidth="1"/>
    <col min="9" max="9" width="18" customWidth="1"/>
    <col min="10" max="14" width="14" customWidth="1"/>
  </cols>
  <sheetData>
    <row r="1" ht="8" customHeight="1" x14ac:dyDescent="0.25"/>
    <row r="2" ht="28" customHeight="1" spans="2:14" x14ac:dyDescent="0.25">
      <c r="B2" s="41" t="s">
        <v>320</v>
      </c>
      <c r="C2" s="41"/>
      <c r="D2" s="41"/>
      <c r="E2" s="41"/>
      <c r="F2" s="41"/>
      <c r="G2" s="41"/>
      <c r="H2" s="41"/>
      <c r="I2" s="41"/>
      <c r="J2" s="41"/>
      <c r="K2" s="41"/>
      <c r="L2" s="41"/>
      <c r="M2" s="41"/>
      <c r="N2" s="41"/>
    </row>
    <row r="3" ht="16" customHeight="1" spans="2:14" x14ac:dyDescent="0.25">
      <c r="B3" s="42" t="s">
        <v>321</v>
      </c>
      <c r="C3" s="42"/>
      <c r="D3" s="42"/>
      <c r="E3" s="42"/>
      <c r="F3" s="42"/>
      <c r="G3" s="42"/>
      <c r="H3" s="42"/>
      <c r="I3" s="42"/>
      <c r="J3" s="42"/>
      <c r="K3" s="42"/>
      <c r="L3" s="42"/>
      <c r="M3" s="42"/>
      <c r="N3" s="42"/>
    </row>
    <row r="5" ht="24" customHeight="1" spans="2:14" x14ac:dyDescent="0.25">
      <c r="B5" s="18" t="s">
        <v>322</v>
      </c>
      <c r="C5" s="18"/>
      <c r="D5" s="18"/>
      <c r="E5" s="18"/>
      <c r="F5" s="18"/>
      <c r="G5" s="18"/>
      <c r="H5" s="18"/>
      <c r="I5" s="18"/>
      <c r="J5" s="18"/>
      <c r="K5" s="18"/>
      <c r="L5" s="18"/>
      <c r="M5" s="18"/>
      <c r="N5" s="18"/>
    </row>
    <row r="7" ht="72" customHeight="1" spans="2:8" x14ac:dyDescent="0.25">
      <c r="B7" s="85" t="s">
        <v>323</v>
      </c>
      <c r="C7" s="85"/>
      <c r="D7" s="85"/>
      <c r="E7" s="85"/>
      <c r="F7" s="85"/>
      <c r="G7" s="85"/>
      <c r="H7" s="85"/>
    </row>
    <row r="11" spans="2:14" x14ac:dyDescent="0.25">
      <c r="B11" s="40" t="s">
        <v>67</v>
      </c>
      <c r="C11" s="40"/>
      <c r="D11" s="40"/>
      <c r="E11" s="40"/>
      <c r="F11" s="40"/>
      <c r="G11" s="40"/>
      <c r="H11" s="40"/>
      <c r="I11" s="40"/>
      <c r="J11" s="40"/>
      <c r="K11" s="40"/>
      <c r="L11" s="40"/>
      <c r="M11" s="40"/>
      <c r="N11" s="40"/>
    </row>
  </sheetData>
  <mergeCells count="5">
    <mergeCell ref="B2:N2"/>
    <mergeCell ref="B3:N3"/>
    <mergeCell ref="B5:N5"/>
    <mergeCell ref="B7:H7"/>
    <mergeCell ref="B11:N11"/>
  </mergeCells>
  <pageSetup paperSize="9" orientation="landscape" fitToWidth="1" fitToHeight="0"/>
  <headerFooter>
    <oddFooter>&amp;L&amp;8BuildFi Technologies inc.&amp;C&amp;8Page &amp;P / &amp;N&amp;R&amp;8&amp;D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7"/>
  <sheetViews>
    <sheetView workbookViewId="0">
      <pane ySplit="14" topLeftCell="A15" activePane="bottomLeft" state="frozen"/>
      <selection pane="bottomLeft"/>
    </sheetView>
  </sheetViews>
  <sheetFormatPr defaultRowHeight="15" outlineLevelRow="0" outlineLevelCol="0" x14ac:dyDescent="55"/>
  <cols>
    <col min="1" max="1" width="3" customWidth="1"/>
    <col min="2" max="2" width="26" customWidth="1"/>
    <col min="3" max="5" width="16" customWidth="1"/>
    <col min="6" max="6" width="14" customWidth="1"/>
    <col min="7" max="7" width="22" customWidth="1"/>
    <col min="8" max="8" width="38" customWidth="1"/>
    <col min="9" max="14" width="14" customWidth="1"/>
  </cols>
  <sheetData>
    <row r="1" ht="8" customHeight="1" x14ac:dyDescent="0.25"/>
    <row r="2" ht="28" customHeight="1" spans="2:14" x14ac:dyDescent="0.25">
      <c r="B2" s="41" t="s">
        <v>324</v>
      </c>
      <c r="C2" s="41"/>
      <c r="D2" s="41"/>
      <c r="E2" s="41"/>
      <c r="F2" s="41"/>
      <c r="G2" s="41"/>
      <c r="H2" s="41"/>
      <c r="I2" s="41"/>
      <c r="J2" s="41"/>
      <c r="K2" s="41"/>
      <c r="L2" s="41"/>
      <c r="M2" s="41"/>
      <c r="N2" s="41"/>
    </row>
    <row r="3" ht="16" customHeight="1" spans="2:14" x14ac:dyDescent="0.25">
      <c r="B3" s="42" t="s">
        <v>325</v>
      </c>
      <c r="C3" s="42"/>
      <c r="D3" s="42"/>
      <c r="E3" s="42"/>
      <c r="F3" s="42"/>
      <c r="G3" s="42"/>
      <c r="H3" s="42"/>
      <c r="I3" s="42"/>
      <c r="J3" s="42"/>
      <c r="K3" s="42"/>
      <c r="L3" s="42"/>
      <c r="M3" s="42"/>
      <c r="N3" s="42"/>
    </row>
    <row r="5" ht="24" customHeight="1" spans="2:14" x14ac:dyDescent="0.25">
      <c r="B5" s="18" t="s">
        <v>326</v>
      </c>
      <c r="C5" s="18"/>
      <c r="D5" s="18"/>
      <c r="E5" s="18"/>
      <c r="F5" s="18"/>
      <c r="G5" s="18"/>
      <c r="H5" s="18"/>
      <c r="I5" s="18"/>
      <c r="J5" s="18"/>
      <c r="K5" s="18"/>
      <c r="L5" s="18"/>
      <c r="M5" s="18"/>
      <c r="N5" s="18"/>
    </row>
    <row r="7" spans="2:8" x14ac:dyDescent="0.25">
      <c r="B7" t="s">
        <v>141</v>
      </c>
      <c r="C7" t="s">
        <v>327</v>
      </c>
      <c r="D7" t="s">
        <v>41</v>
      </c>
      <c r="E7" t="s">
        <v>328</v>
      </c>
      <c r="F7" t="s">
        <v>329</v>
      </c>
      <c r="G7" t="s">
        <v>330</v>
      </c>
      <c r="H7" t="s">
        <v>50</v>
      </c>
    </row>
    <row r="8" ht="48" customHeight="1" spans="2:8" x14ac:dyDescent="0.25">
      <c r="B8" s="85" t="s">
        <v>331</v>
      </c>
      <c r="C8" s="85"/>
      <c r="D8" s="85"/>
      <c r="E8" s="85"/>
      <c r="F8" s="85"/>
      <c r="G8" s="85"/>
      <c r="H8" s="85"/>
    </row>
    <row r="12" ht="24" customHeight="1" spans="2:14" x14ac:dyDescent="0.25">
      <c r="B12" s="18" t="s">
        <v>332</v>
      </c>
      <c r="C12" s="18"/>
      <c r="D12" s="18"/>
      <c r="E12" s="18"/>
      <c r="F12" s="18"/>
      <c r="G12" s="18"/>
      <c r="H12" s="18"/>
      <c r="I12" s="18"/>
      <c r="J12" s="18"/>
      <c r="K12" s="18"/>
      <c r="L12" s="18"/>
      <c r="M12" s="18"/>
      <c r="N12" s="18"/>
    </row>
    <row r="14" ht="30" customHeight="1" spans="2:4" x14ac:dyDescent="0.25">
      <c r="B14" s="27" t="s">
        <v>291</v>
      </c>
      <c r="C14" s="28" t="s">
        <v>292</v>
      </c>
      <c r="D14" s="28" t="s">
        <v>333</v>
      </c>
    </row>
    <row r="15" ht="19" customHeight="1" spans="2:4" x14ac:dyDescent="0.25">
      <c r="B15" s="29" t="s">
        <v>334</v>
      </c>
      <c r="C15" s="36">
        <v>2314200</v>
      </c>
      <c r="D15" s="32" t="s">
        <v>335</v>
      </c>
    </row>
    <row r="16" ht="19" customHeight="1" spans="2:4" x14ac:dyDescent="0.25">
      <c r="B16" s="33" t="s">
        <v>336</v>
      </c>
      <c r="C16" s="34">
        <v>0</v>
      </c>
      <c r="D16" s="35" t="s">
        <v>337</v>
      </c>
    </row>
    <row r="17" ht="19" customHeight="1" spans="2:4" x14ac:dyDescent="0.25">
      <c r="B17" s="29" t="s">
        <v>338</v>
      </c>
      <c r="C17" s="36">
        <v>0</v>
      </c>
      <c r="D17" s="32" t="s">
        <v>339</v>
      </c>
    </row>
    <row r="18" ht="19" customHeight="1" spans="2:4" x14ac:dyDescent="0.25">
      <c r="B18" s="33" t="s">
        <v>340</v>
      </c>
      <c r="C18" s="34">
        <v>0</v>
      </c>
      <c r="D18" s="35" t="s">
        <v>341</v>
      </c>
    </row>
    <row r="19" ht="19" customHeight="1" spans="2:4" x14ac:dyDescent="0.25">
      <c r="B19" s="29" t="s">
        <v>342</v>
      </c>
      <c r="C19" s="36">
        <v>15000</v>
      </c>
      <c r="D19" s="32" t="s">
        <v>343</v>
      </c>
    </row>
    <row r="20" ht="19" customHeight="1" spans="2:4" x14ac:dyDescent="0.25">
      <c r="B20" s="50" t="s">
        <v>344</v>
      </c>
      <c r="C20" s="86">
        <v>2329200</v>
      </c>
      <c r="D20" s="87" t="s">
        <v>73</v>
      </c>
    </row>
    <row r="21" ht="19" customHeight="1" spans="2:4" x14ac:dyDescent="0.25">
      <c r="B21" s="29" t="s">
        <v>345</v>
      </c>
      <c r="C21" s="36">
        <v>-1665093.286147499</v>
      </c>
      <c r="D21" s="32" t="s">
        <v>294</v>
      </c>
    </row>
    <row r="22" ht="19" customHeight="1" spans="2:4" x14ac:dyDescent="0.25">
      <c r="B22" s="33" t="s">
        <v>346</v>
      </c>
      <c r="C22" s="34">
        <v>0</v>
      </c>
      <c r="D22" s="35" t="s">
        <v>347</v>
      </c>
    </row>
    <row r="23" ht="19" customHeight="1" spans="2:4" x14ac:dyDescent="0.25">
      <c r="B23" s="88" t="s">
        <v>348</v>
      </c>
      <c r="C23" s="89">
        <v>664106.713852501</v>
      </c>
      <c r="D23" s="90" t="s">
        <v>349</v>
      </c>
    </row>
    <row r="25" ht="36" customHeight="1" spans="2:8" x14ac:dyDescent="0.25">
      <c r="B25" s="59" t="s">
        <v>350</v>
      </c>
      <c r="C25" s="59"/>
      <c r="D25" s="59"/>
      <c r="E25" s="59"/>
      <c r="F25" s="59"/>
      <c r="G25" s="59"/>
      <c r="H25" s="59"/>
    </row>
    <row r="27" spans="2:14" x14ac:dyDescent="0.25">
      <c r="B27" s="40" t="s">
        <v>67</v>
      </c>
      <c r="C27" s="40"/>
      <c r="D27" s="40"/>
      <c r="E27" s="40"/>
      <c r="F27" s="40"/>
      <c r="G27" s="40"/>
      <c r="H27" s="40"/>
      <c r="I27" s="40"/>
      <c r="J27" s="40"/>
      <c r="K27" s="40"/>
      <c r="L27" s="40"/>
      <c r="M27" s="40"/>
      <c r="N27" s="40"/>
    </row>
  </sheetData>
  <autoFilter ref="B14:D14"/>
  <mergeCells count="7">
    <mergeCell ref="B2:N2"/>
    <mergeCell ref="B3:N3"/>
    <mergeCell ref="B5:N5"/>
    <mergeCell ref="B8:H8"/>
    <mergeCell ref="B12:N12"/>
    <mergeCell ref="B25:H25"/>
    <mergeCell ref="B27:N27"/>
  </mergeCells>
  <pageSetup paperSize="9" orientation="landscape" fitToWidth="1" fitToHeight="0"/>
  <headerFooter>
    <oddFooter>&amp;L&amp;8BuildFi Technologies inc.&amp;C&amp;8Page &amp;P / &amp;N&amp;R&amp;8&amp;D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11"/>
  <sheetViews>
    <sheetView workbookViewId="0">
      <pane ySplit="5" topLeftCell="A6" activePane="bottomLeft" state="frozen"/>
      <selection pane="bottomLeft"/>
    </sheetView>
  </sheetViews>
  <sheetFormatPr defaultRowHeight="15" outlineLevelRow="0" outlineLevelCol="0" x14ac:dyDescent="55"/>
  <cols>
    <col min="1" max="1" width="3" customWidth="1"/>
    <col min="2" max="2" width="24" customWidth="1"/>
    <col min="3" max="5" width="16" customWidth="1"/>
    <col min="6" max="6" width="12" customWidth="1"/>
    <col min="7" max="7" width="14" customWidth="1"/>
    <col min="8" max="8" width="12" customWidth="1"/>
    <col min="9" max="9" width="16" customWidth="1"/>
    <col min="10" max="14" width="14" customWidth="1"/>
  </cols>
  <sheetData>
    <row r="1" ht="8" customHeight="1" x14ac:dyDescent="0.25"/>
    <row r="2" ht="28" customHeight="1" spans="2:14" x14ac:dyDescent="0.25">
      <c r="B2" s="41" t="s">
        <v>351</v>
      </c>
      <c r="C2" s="41"/>
      <c r="D2" s="41"/>
      <c r="E2" s="41"/>
      <c r="F2" s="41"/>
      <c r="G2" s="41"/>
      <c r="H2" s="41"/>
      <c r="I2" s="41"/>
      <c r="J2" s="41"/>
      <c r="K2" s="41"/>
      <c r="L2" s="41"/>
      <c r="M2" s="41"/>
      <c r="N2" s="41"/>
    </row>
    <row r="3" ht="16" customHeight="1" spans="2:14" x14ac:dyDescent="0.25">
      <c r="B3" s="42" t="s">
        <v>352</v>
      </c>
      <c r="C3" s="42"/>
      <c r="D3" s="42"/>
      <c r="E3" s="42"/>
      <c r="F3" s="42"/>
      <c r="G3" s="42"/>
      <c r="H3" s="42"/>
      <c r="I3" s="42"/>
      <c r="J3" s="42"/>
      <c r="K3" s="42"/>
      <c r="L3" s="42"/>
      <c r="M3" s="42"/>
      <c r="N3" s="42"/>
    </row>
    <row r="5" ht="30" customHeight="1" spans="2:10" x14ac:dyDescent="0.25">
      <c r="B5" s="27" t="s">
        <v>353</v>
      </c>
      <c r="C5" s="28" t="s">
        <v>354</v>
      </c>
      <c r="D5" s="28" t="s">
        <v>172</v>
      </c>
      <c r="E5" s="28" t="s">
        <v>355</v>
      </c>
      <c r="F5" s="28" t="s">
        <v>356</v>
      </c>
      <c r="G5" s="28" t="s">
        <v>357</v>
      </c>
      <c r="H5" s="28" t="s">
        <v>358</v>
      </c>
      <c r="I5" s="28" t="s">
        <v>359</v>
      </c>
      <c r="J5" s="28" t="s">
        <v>141</v>
      </c>
    </row>
    <row r="6" ht="19" customHeight="1" spans="2:10" x14ac:dyDescent="0.25">
      <c r="B6" s="33"/>
      <c r="C6" s="35"/>
      <c r="D6" s="35"/>
      <c r="E6" s="35"/>
      <c r="F6" s="35"/>
      <c r="G6" s="35"/>
      <c r="H6" s="35"/>
      <c r="I6" s="35"/>
      <c r="J6" s="35"/>
    </row>
    <row r="11" spans="2:14" x14ac:dyDescent="0.25">
      <c r="B11" s="40" t="s">
        <v>67</v>
      </c>
      <c r="C11" s="40"/>
      <c r="D11" s="40"/>
      <c r="E11" s="40"/>
      <c r="F11" s="40"/>
      <c r="G11" s="40"/>
      <c r="H11" s="40"/>
      <c r="I11" s="40"/>
      <c r="J11" s="40"/>
      <c r="K11" s="40"/>
      <c r="L11" s="40"/>
      <c r="M11" s="40"/>
      <c r="N11" s="40"/>
    </row>
  </sheetData>
  <autoFilter ref="B5:J5"/>
  <mergeCells count="3">
    <mergeCell ref="B2:N2"/>
    <mergeCell ref="B3:N3"/>
    <mergeCell ref="B11:N11"/>
  </mergeCells>
  <pageSetup paperSize="9" orientation="landscape" fitToWidth="1" fitToHeight="0"/>
  <headerFooter>
    <oddFooter>&amp;L&amp;8BuildFi Technologies inc.&amp;C&amp;8Page &amp;P / &amp;N&amp;R&amp;8&amp;D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18"/>
  <sheetFormatPr defaultRowHeight="15" outlineLevelRow="0" outlineLevelCol="0" x14ac:dyDescent="55"/>
  <cols>
    <col min="1" max="1" width="3" customWidth="1"/>
    <col min="2" max="2" width="18" customWidth="1"/>
    <col min="3" max="3" width="8" customWidth="1"/>
    <col min="4" max="4" width="16" customWidth="1"/>
    <col min="5" max="8" width="15" customWidth="1"/>
    <col min="9" max="10" width="14" customWidth="1"/>
    <col min="11" max="11" width="15" customWidth="1"/>
    <col min="12" max="12" width="14" customWidth="1"/>
    <col min="13" max="13" width="16" customWidth="1"/>
  </cols>
  <sheetData>
    <row r="1" ht="8" customHeight="1" x14ac:dyDescent="0.25"/>
    <row r="2" ht="28" customHeight="1" spans="2:14" x14ac:dyDescent="0.25">
      <c r="B2" s="41" t="s">
        <v>33</v>
      </c>
      <c r="C2" s="41"/>
      <c r="D2" s="41"/>
      <c r="E2" s="41"/>
      <c r="F2" s="41"/>
      <c r="G2" s="41"/>
      <c r="H2" s="41"/>
      <c r="I2" s="41"/>
      <c r="J2" s="41"/>
      <c r="K2" s="41"/>
      <c r="L2" s="41"/>
      <c r="M2" s="41"/>
      <c r="N2" s="41"/>
    </row>
    <row r="3" ht="16" customHeight="1" spans="2:14" x14ac:dyDescent="0.25">
      <c r="B3" s="42" t="s">
        <v>360</v>
      </c>
      <c r="C3" s="42"/>
      <c r="D3" s="42"/>
      <c r="E3" s="42"/>
      <c r="F3" s="42"/>
      <c r="G3" s="42"/>
      <c r="H3" s="42"/>
      <c r="I3" s="42"/>
      <c r="J3" s="42"/>
      <c r="K3" s="42"/>
      <c r="L3" s="42"/>
      <c r="M3" s="42"/>
      <c r="N3" s="42"/>
    </row>
    <row r="5" ht="24" customHeight="1" spans="2:14" x14ac:dyDescent="0.25">
      <c r="B5" s="18" t="s">
        <v>361</v>
      </c>
      <c r="C5" s="18"/>
      <c r="D5" s="18"/>
      <c r="E5" s="18"/>
      <c r="F5" s="18"/>
      <c r="G5" s="18"/>
      <c r="H5" s="18"/>
      <c r="I5" s="18"/>
      <c r="J5" s="18"/>
      <c r="K5" s="18"/>
      <c r="L5" s="18"/>
      <c r="M5" s="18"/>
      <c r="N5" s="18"/>
    </row>
    <row r="7" spans="2:13" x14ac:dyDescent="0.25">
      <c r="B7" s="14" t="s">
        <v>362</v>
      </c>
      <c r="C7" s="14"/>
      <c r="D7" s="14"/>
      <c r="E7" s="14"/>
      <c r="F7" s="14"/>
      <c r="G7" s="14"/>
      <c r="H7" s="14"/>
      <c r="I7" s="14"/>
      <c r="J7" s="14"/>
      <c r="K7" s="14"/>
      <c r="L7" s="14"/>
      <c r="M7" s="14"/>
    </row>
    <row r="8" spans="2:13" x14ac:dyDescent="0.25">
      <c r="B8" s="14" t="s">
        <v>363</v>
      </c>
      <c r="C8" s="14"/>
      <c r="D8" s="14"/>
      <c r="E8" s="14"/>
      <c r="F8" s="14"/>
      <c r="G8" s="14"/>
      <c r="H8" s="14"/>
      <c r="I8" s="14"/>
      <c r="J8" s="14"/>
      <c r="K8" s="14"/>
      <c r="L8" s="14"/>
      <c r="M8" s="14"/>
    </row>
    <row r="9" spans="2:13" x14ac:dyDescent="0.25">
      <c r="B9" s="14" t="s">
        <v>73</v>
      </c>
      <c r="C9" s="14"/>
      <c r="D9" s="14"/>
      <c r="E9" s="14"/>
      <c r="F9" s="14"/>
      <c r="G9" s="14"/>
      <c r="H9" s="14"/>
      <c r="I9" s="14"/>
      <c r="J9" s="14"/>
      <c r="K9" s="14"/>
      <c r="L9" s="14"/>
      <c r="M9" s="14"/>
    </row>
    <row r="10" spans="2:13" x14ac:dyDescent="0.25">
      <c r="B10" s="14" t="s">
        <v>364</v>
      </c>
      <c r="C10" s="14"/>
      <c r="D10" s="14"/>
      <c r="E10" s="14"/>
      <c r="F10" s="14"/>
      <c r="G10" s="14"/>
      <c r="H10" s="14"/>
      <c r="I10" s="14"/>
      <c r="J10" s="14"/>
      <c r="K10" s="14"/>
      <c r="L10" s="14"/>
      <c r="M10" s="14"/>
    </row>
    <row r="11" spans="2:13" x14ac:dyDescent="0.25">
      <c r="B11" s="14" t="s">
        <v>73</v>
      </c>
      <c r="C11" s="14"/>
      <c r="D11" s="14"/>
      <c r="E11" s="14"/>
      <c r="F11" s="14"/>
      <c r="G11" s="14"/>
      <c r="H11" s="14"/>
      <c r="I11" s="14"/>
      <c r="J11" s="14"/>
      <c r="K11" s="14"/>
      <c r="L11" s="14"/>
      <c r="M11" s="14"/>
    </row>
    <row r="12" spans="2:13" x14ac:dyDescent="0.25">
      <c r="B12" s="14" t="s">
        <v>365</v>
      </c>
      <c r="C12" s="14"/>
      <c r="D12" s="14"/>
      <c r="E12" s="14"/>
      <c r="F12" s="14"/>
      <c r="G12" s="14"/>
      <c r="H12" s="14"/>
      <c r="I12" s="14"/>
      <c r="J12" s="14"/>
      <c r="K12" s="14"/>
      <c r="L12" s="14"/>
      <c r="M12" s="14"/>
    </row>
    <row r="13" spans="2:13" x14ac:dyDescent="0.25">
      <c r="B13" s="14" t="s">
        <v>366</v>
      </c>
      <c r="C13" s="14"/>
      <c r="D13" s="14"/>
      <c r="E13" s="14"/>
      <c r="F13" s="14"/>
      <c r="G13" s="14"/>
      <c r="H13" s="14"/>
      <c r="I13" s="14"/>
      <c r="J13" s="14"/>
      <c r="K13" s="14"/>
      <c r="L13" s="14"/>
      <c r="M13" s="14"/>
    </row>
    <row r="14" spans="2:13" x14ac:dyDescent="0.25">
      <c r="B14" s="14" t="s">
        <v>73</v>
      </c>
      <c r="C14" s="14"/>
      <c r="D14" s="14"/>
      <c r="E14" s="14"/>
      <c r="F14" s="14"/>
      <c r="G14" s="14"/>
      <c r="H14" s="14"/>
      <c r="I14" s="14"/>
      <c r="J14" s="14"/>
      <c r="K14" s="14"/>
      <c r="L14" s="14"/>
      <c r="M14" s="14"/>
    </row>
    <row r="15" spans="2:13" x14ac:dyDescent="0.25">
      <c r="B15" s="14" t="s">
        <v>367</v>
      </c>
      <c r="C15" s="14"/>
      <c r="D15" s="14"/>
      <c r="E15" s="14"/>
      <c r="F15" s="14"/>
      <c r="G15" s="14"/>
      <c r="H15" s="14"/>
      <c r="I15" s="14"/>
      <c r="J15" s="14"/>
      <c r="K15" s="14"/>
      <c r="L15" s="14"/>
      <c r="M15" s="14"/>
    </row>
    <row r="16" spans="2:13" x14ac:dyDescent="0.25">
      <c r="B16" s="14" t="s">
        <v>368</v>
      </c>
      <c r="C16" s="14"/>
      <c r="D16" s="14"/>
      <c r="E16" s="14"/>
      <c r="F16" s="14"/>
      <c r="G16" s="14"/>
      <c r="H16" s="14"/>
      <c r="I16" s="14"/>
      <c r="J16" s="14"/>
      <c r="K16" s="14"/>
      <c r="L16" s="14"/>
      <c r="M16" s="14"/>
    </row>
    <row r="17" spans="2:13" x14ac:dyDescent="0.25">
      <c r="B17" s="14" t="s">
        <v>369</v>
      </c>
      <c r="C17" s="14"/>
      <c r="D17" s="14"/>
      <c r="E17" s="14"/>
      <c r="F17" s="14"/>
      <c r="G17" s="14"/>
      <c r="H17" s="14"/>
      <c r="I17" s="14"/>
      <c r="J17" s="14"/>
      <c r="K17" s="14"/>
      <c r="L17" s="14"/>
      <c r="M17" s="14"/>
    </row>
    <row r="18" spans="2:13" x14ac:dyDescent="0.25">
      <c r="B18" s="14" t="s">
        <v>370</v>
      </c>
      <c r="C18" s="14"/>
      <c r="D18" s="14"/>
      <c r="E18" s="14"/>
      <c r="F18" s="14"/>
      <c r="G18" s="14"/>
      <c r="H18" s="14"/>
      <c r="I18" s="14"/>
      <c r="J18" s="14"/>
      <c r="K18" s="14"/>
      <c r="L18" s="14"/>
      <c r="M18" s="14"/>
    </row>
  </sheetData>
  <mergeCells count="15">
    <mergeCell ref="B2:N2"/>
    <mergeCell ref="B3:N3"/>
    <mergeCell ref="B5:N5"/>
    <mergeCell ref="B7:M7"/>
    <mergeCell ref="B8:M8"/>
    <mergeCell ref="B9:M9"/>
    <mergeCell ref="B10:M10"/>
    <mergeCell ref="B11:M11"/>
    <mergeCell ref="B12:M12"/>
    <mergeCell ref="B13:M13"/>
    <mergeCell ref="B14:M14"/>
    <mergeCell ref="B15:M15"/>
    <mergeCell ref="B16:M16"/>
    <mergeCell ref="B17:M17"/>
    <mergeCell ref="B18:M18"/>
  </mergeCells>
  <pageSetup paperSize="9" orientation="landscape" fitToWidth="1" fitToHeight="0"/>
  <headerFooter>
    <oddFooter>&amp;L&amp;8BuildFi Technologies inc.&amp;C&amp;8Page &amp;P / &amp;N&amp;R&amp;8&amp;D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78"/>
  <sheetViews>
    <sheetView workbookViewId="0">
      <pane ySplit="40" topLeftCell="A41" activePane="bottomLeft" state="frozen"/>
      <selection pane="bottomLeft"/>
    </sheetView>
  </sheetViews>
  <sheetFormatPr defaultRowHeight="15" outlineLevelRow="0" outlineLevelCol="0" x14ac:dyDescent="55"/>
  <cols>
    <col min="1" max="1" width="3" customWidth="1"/>
    <col min="2" max="2" width="26" customWidth="1"/>
    <col min="3" max="3" width="32" customWidth="1"/>
    <col min="4" max="4" width="42" customWidth="1"/>
    <col min="5" max="14" width="14" customWidth="1"/>
  </cols>
  <sheetData>
    <row r="1" ht="8" customHeight="1" x14ac:dyDescent="0.25"/>
    <row r="2" ht="28" customHeight="1" spans="2:14" x14ac:dyDescent="0.25">
      <c r="B2" s="41" t="s">
        <v>371</v>
      </c>
      <c r="C2" s="41"/>
      <c r="D2" s="41"/>
      <c r="E2" s="41"/>
      <c r="F2" s="41"/>
      <c r="G2" s="41"/>
      <c r="H2" s="41"/>
      <c r="I2" s="41"/>
      <c r="J2" s="41"/>
      <c r="K2" s="41"/>
      <c r="L2" s="41"/>
      <c r="M2" s="41"/>
      <c r="N2" s="41"/>
    </row>
    <row r="3" ht="16" customHeight="1" spans="2:14" x14ac:dyDescent="0.25">
      <c r="B3" s="42" t="s">
        <v>372</v>
      </c>
      <c r="C3" s="42"/>
      <c r="D3" s="42"/>
      <c r="E3" s="42"/>
      <c r="F3" s="42"/>
      <c r="G3" s="42"/>
      <c r="H3" s="42"/>
      <c r="I3" s="42"/>
      <c r="J3" s="42"/>
      <c r="K3" s="42"/>
      <c r="L3" s="42"/>
      <c r="M3" s="42"/>
      <c r="N3" s="42"/>
    </row>
    <row r="5" ht="24" customHeight="1" spans="2:14" x14ac:dyDescent="0.25">
      <c r="B5" s="18" t="s">
        <v>373</v>
      </c>
      <c r="C5" s="18"/>
      <c r="D5" s="18"/>
      <c r="E5" s="18"/>
      <c r="F5" s="18"/>
      <c r="G5" s="18"/>
      <c r="H5" s="18"/>
      <c r="I5" s="18"/>
      <c r="J5" s="18"/>
      <c r="K5" s="18"/>
      <c r="L5" s="18"/>
      <c r="M5" s="18"/>
      <c r="N5" s="18"/>
    </row>
    <row r="7" ht="30" customHeight="1" spans="2:4" x14ac:dyDescent="0.25">
      <c r="B7" s="27" t="s">
        <v>291</v>
      </c>
      <c r="C7" s="28" t="s">
        <v>273</v>
      </c>
      <c r="D7" s="28" t="s">
        <v>374</v>
      </c>
    </row>
    <row r="8" ht="19" customHeight="1" spans="2:4" x14ac:dyDescent="0.25">
      <c r="B8" s="33" t="s">
        <v>375</v>
      </c>
      <c r="C8" s="35" t="s">
        <v>376</v>
      </c>
      <c r="D8" s="35" t="s">
        <v>377</v>
      </c>
    </row>
    <row r="9" ht="19" customHeight="1" spans="2:4" x14ac:dyDescent="0.25">
      <c r="B9" s="29" t="s">
        <v>378</v>
      </c>
      <c r="C9" s="32" t="s">
        <v>51</v>
      </c>
      <c r="D9" s="32" t="s">
        <v>379</v>
      </c>
    </row>
    <row r="10" ht="19" customHeight="1" spans="2:4" x14ac:dyDescent="0.25">
      <c r="B10" s="33" t="s">
        <v>380</v>
      </c>
      <c r="C10" s="35" t="s">
        <v>381</v>
      </c>
      <c r="D10" s="35" t="s">
        <v>382</v>
      </c>
    </row>
    <row r="11" ht="19" customHeight="1" spans="2:4" x14ac:dyDescent="0.25">
      <c r="B11" s="29" t="s">
        <v>383</v>
      </c>
      <c r="C11" s="32" t="s">
        <v>384</v>
      </c>
      <c r="D11" s="32" t="s">
        <v>385</v>
      </c>
    </row>
    <row r="12" ht="19" customHeight="1" spans="2:4" x14ac:dyDescent="0.25">
      <c r="B12" s="33" t="s">
        <v>386</v>
      </c>
      <c r="C12" s="35" t="s">
        <v>195</v>
      </c>
      <c r="D12" s="35" t="s">
        <v>73</v>
      </c>
    </row>
    <row r="13" ht="19" customHeight="1" spans="2:4" x14ac:dyDescent="0.25">
      <c r="B13" s="29" t="s">
        <v>387</v>
      </c>
      <c r="C13" s="32" t="s">
        <v>388</v>
      </c>
      <c r="D13" s="32" t="s">
        <v>389</v>
      </c>
    </row>
    <row r="14" ht="19" customHeight="1" spans="2:4" x14ac:dyDescent="0.25">
      <c r="B14" s="33" t="s">
        <v>390</v>
      </c>
      <c r="C14" s="35" t="s">
        <v>391</v>
      </c>
      <c r="D14" s="35" t="s">
        <v>392</v>
      </c>
    </row>
    <row r="15" ht="19" customHeight="1" spans="2:4" x14ac:dyDescent="0.25">
      <c r="B15" s="29" t="s">
        <v>393</v>
      </c>
      <c r="C15" s="32" t="s">
        <v>394</v>
      </c>
      <c r="D15" s="32" t="s">
        <v>395</v>
      </c>
    </row>
    <row r="17" ht="24" customHeight="1" spans="2:14" x14ac:dyDescent="0.25">
      <c r="B17" s="18" t="s">
        <v>396</v>
      </c>
      <c r="C17" s="18"/>
      <c r="D17" s="18"/>
      <c r="E17" s="18"/>
      <c r="F17" s="18"/>
      <c r="G17" s="18"/>
      <c r="H17" s="18"/>
      <c r="I17" s="18"/>
      <c r="J17" s="18"/>
      <c r="K17" s="18"/>
      <c r="L17" s="18"/>
      <c r="M17" s="18"/>
      <c r="N17" s="18"/>
    </row>
    <row r="19" ht="30" customHeight="1" spans="2:4" x14ac:dyDescent="0.25">
      <c r="B19" s="27" t="s">
        <v>397</v>
      </c>
      <c r="C19" s="28" t="s">
        <v>116</v>
      </c>
      <c r="D19" s="28" t="s">
        <v>398</v>
      </c>
    </row>
    <row r="20" ht="19" customHeight="1" spans="2:4" x14ac:dyDescent="0.25">
      <c r="B20" s="33" t="s">
        <v>399</v>
      </c>
      <c r="C20" s="35" t="s">
        <v>400</v>
      </c>
      <c r="D20" s="35"/>
    </row>
    <row r="21" ht="19" customHeight="1" spans="2:4" x14ac:dyDescent="0.25">
      <c r="B21" s="29" t="s">
        <v>401</v>
      </c>
      <c r="C21" s="32" t="s">
        <v>402</v>
      </c>
      <c r="D21" s="32"/>
    </row>
    <row r="22" ht="19" customHeight="1" spans="2:4" x14ac:dyDescent="0.25">
      <c r="B22" s="33" t="s">
        <v>403</v>
      </c>
      <c r="C22" s="35" t="s">
        <v>404</v>
      </c>
      <c r="D22" s="35"/>
    </row>
    <row r="23" ht="19" customHeight="1" spans="2:4" x14ac:dyDescent="0.25">
      <c r="B23" s="29" t="s">
        <v>405</v>
      </c>
      <c r="C23" s="32" t="s">
        <v>406</v>
      </c>
      <c r="D23" s="32"/>
    </row>
    <row r="24" ht="19" customHeight="1" spans="2:4" x14ac:dyDescent="0.25">
      <c r="B24" s="33" t="s">
        <v>407</v>
      </c>
      <c r="C24" s="35" t="s">
        <v>408</v>
      </c>
      <c r="D24" s="35"/>
    </row>
    <row r="25" ht="19" customHeight="1" spans="2:4" x14ac:dyDescent="0.25">
      <c r="B25" s="29" t="s">
        <v>409</v>
      </c>
      <c r="C25" s="32" t="s">
        <v>410</v>
      </c>
      <c r="D25" s="32"/>
    </row>
    <row r="26" ht="19" customHeight="1" spans="2:4" x14ac:dyDescent="0.25">
      <c r="B26" s="33" t="s">
        <v>411</v>
      </c>
      <c r="C26" s="35" t="s">
        <v>412</v>
      </c>
      <c r="D26" s="35"/>
    </row>
    <row r="27" ht="19" customHeight="1" spans="2:4" x14ac:dyDescent="0.25">
      <c r="B27" s="29" t="s">
        <v>413</v>
      </c>
      <c r="C27" s="32" t="s">
        <v>414</v>
      </c>
      <c r="D27" s="32"/>
    </row>
    <row r="29" ht="24" customHeight="1" spans="2:14" x14ac:dyDescent="0.25">
      <c r="B29" s="18" t="s">
        <v>415</v>
      </c>
      <c r="C29" s="18"/>
      <c r="D29" s="18"/>
      <c r="E29" s="18"/>
      <c r="F29" s="18"/>
      <c r="G29" s="18"/>
      <c r="H29" s="18"/>
      <c r="I29" s="18"/>
      <c r="J29" s="18"/>
      <c r="K29" s="18"/>
      <c r="L29" s="18"/>
      <c r="M29" s="18"/>
      <c r="N29" s="18"/>
    </row>
    <row r="31" spans="2:3" x14ac:dyDescent="0.25">
      <c r="B31" t="s">
        <v>416</v>
      </c>
      <c r="C31" t="s">
        <v>417</v>
      </c>
    </row>
    <row r="32" spans="2:3" x14ac:dyDescent="0.25">
      <c r="B32" t="s">
        <v>418</v>
      </c>
      <c r="C32" t="s">
        <v>419</v>
      </c>
    </row>
    <row r="33" spans="2:3" x14ac:dyDescent="0.25">
      <c r="B33" t="s">
        <v>420</v>
      </c>
      <c r="C33" t="s">
        <v>2</v>
      </c>
    </row>
    <row r="34" spans="2:3" x14ac:dyDescent="0.25">
      <c r="B34" t="s">
        <v>81</v>
      </c>
      <c r="C34" t="s">
        <v>82</v>
      </c>
    </row>
    <row r="35" spans="2:3" x14ac:dyDescent="0.25">
      <c r="B35" t="s">
        <v>421</v>
      </c>
      <c r="C35" t="s">
        <v>422</v>
      </c>
    </row>
    <row r="36" spans="2:3" x14ac:dyDescent="0.25">
      <c r="B36" t="s">
        <v>423</v>
      </c>
      <c r="C36" t="s">
        <v>195</v>
      </c>
    </row>
    <row r="38" ht="24" customHeight="1" spans="2:14" x14ac:dyDescent="0.25">
      <c r="B38" s="18" t="s">
        <v>424</v>
      </c>
      <c r="C38" s="18"/>
      <c r="D38" s="18"/>
      <c r="E38" s="18"/>
      <c r="F38" s="18"/>
      <c r="G38" s="18"/>
      <c r="H38" s="18"/>
      <c r="I38" s="18"/>
      <c r="J38" s="18"/>
      <c r="K38" s="18"/>
      <c r="L38" s="18"/>
      <c r="M38" s="18"/>
      <c r="N38" s="18"/>
    </row>
    <row r="40" ht="30" customHeight="1" spans="2:4" x14ac:dyDescent="0.25">
      <c r="B40" s="27" t="s">
        <v>425</v>
      </c>
      <c r="C40" s="28" t="s">
        <v>116</v>
      </c>
      <c r="D40" s="28" t="s">
        <v>50</v>
      </c>
    </row>
    <row r="41" ht="19" customHeight="1" spans="2:4" x14ac:dyDescent="0.25">
      <c r="B41" s="29" t="s">
        <v>426</v>
      </c>
      <c r="C41" s="38">
        <v>0.021</v>
      </c>
      <c r="D41" s="32" t="s">
        <v>427</v>
      </c>
    </row>
    <row r="42" ht="19" customHeight="1" spans="2:4" x14ac:dyDescent="0.25">
      <c r="B42" s="33" t="s">
        <v>428</v>
      </c>
      <c r="C42" s="51">
        <v>0</v>
      </c>
      <c r="D42" s="35" t="s">
        <v>429</v>
      </c>
    </row>
    <row r="43" ht="19" customHeight="1" spans="2:4" x14ac:dyDescent="0.25">
      <c r="B43" s="29" t="s">
        <v>430</v>
      </c>
      <c r="C43" s="38">
        <v>0.06</v>
      </c>
      <c r="D43" s="32" t="s">
        <v>431</v>
      </c>
    </row>
    <row r="44" ht="19" customHeight="1" spans="2:4" x14ac:dyDescent="0.25">
      <c r="B44" s="33" t="s">
        <v>432</v>
      </c>
      <c r="C44" s="51">
        <v>0</v>
      </c>
      <c r="D44" s="35" t="s">
        <v>433</v>
      </c>
    </row>
    <row r="45" ht="19" customHeight="1" spans="2:4" x14ac:dyDescent="0.25">
      <c r="B45" s="29" t="s">
        <v>434</v>
      </c>
      <c r="C45" s="38">
        <v>0</v>
      </c>
      <c r="D45" s="32" t="s">
        <v>435</v>
      </c>
    </row>
    <row r="46" ht="19" customHeight="1" spans="2:4" x14ac:dyDescent="0.25">
      <c r="B46" s="33" t="s">
        <v>436</v>
      </c>
      <c r="C46" s="51">
        <v>0</v>
      </c>
      <c r="D46" s="35" t="s">
        <v>437</v>
      </c>
    </row>
    <row r="47" ht="19" customHeight="1" spans="2:4" x14ac:dyDescent="0.25">
      <c r="B47" s="29" t="s">
        <v>438</v>
      </c>
      <c r="C47" s="38">
        <v>0</v>
      </c>
      <c r="D47" s="32" t="s">
        <v>439</v>
      </c>
    </row>
    <row r="48" ht="19" customHeight="1" spans="2:4" x14ac:dyDescent="0.25">
      <c r="B48" s="33" t="s">
        <v>440</v>
      </c>
      <c r="C48" s="51">
        <v>0.6</v>
      </c>
      <c r="D48" s="35" t="s">
        <v>73</v>
      </c>
    </row>
    <row r="49" ht="19" customHeight="1" spans="2:4" x14ac:dyDescent="0.25">
      <c r="B49" s="29" t="s">
        <v>441</v>
      </c>
      <c r="C49" s="38">
        <v>0.7</v>
      </c>
      <c r="D49" s="32" t="s">
        <v>73</v>
      </c>
    </row>
    <row r="50" ht="19" customHeight="1" spans="2:4" x14ac:dyDescent="0.25">
      <c r="B50" s="33" t="s">
        <v>442</v>
      </c>
      <c r="C50" s="51">
        <v>0.5</v>
      </c>
      <c r="D50" s="35" t="s">
        <v>73</v>
      </c>
    </row>
    <row r="51" ht="19" customHeight="1" spans="2:4" x14ac:dyDescent="0.25">
      <c r="B51" s="29" t="s">
        <v>443</v>
      </c>
      <c r="C51" s="38">
        <v>0.005</v>
      </c>
      <c r="D51" s="32" t="s">
        <v>73</v>
      </c>
    </row>
    <row r="52" ht="19" customHeight="1" spans="2:4" x14ac:dyDescent="0.25">
      <c r="B52" s="33" t="s">
        <v>444</v>
      </c>
      <c r="C52" s="51">
        <v>0.0035</v>
      </c>
      <c r="D52" s="35" t="s">
        <v>73</v>
      </c>
    </row>
    <row r="53" ht="19" customHeight="1" spans="2:4" x14ac:dyDescent="0.25">
      <c r="B53" s="29" t="s">
        <v>445</v>
      </c>
      <c r="C53" s="38">
        <v>0.004</v>
      </c>
      <c r="D53" s="32" t="s">
        <v>73</v>
      </c>
    </row>
    <row r="54" ht="19" customHeight="1" spans="2:4" x14ac:dyDescent="0.25">
      <c r="B54" s="33" t="s">
        <v>446</v>
      </c>
      <c r="C54" s="51">
        <v>0</v>
      </c>
      <c r="D54" s="35" t="s">
        <v>447</v>
      </c>
    </row>
    <row r="55" ht="19" customHeight="1" spans="2:4" x14ac:dyDescent="0.25">
      <c r="B55" s="29" t="s">
        <v>448</v>
      </c>
      <c r="C55" s="38">
        <v>0</v>
      </c>
      <c r="D55" s="32" t="s">
        <v>449</v>
      </c>
    </row>
    <row r="56" ht="19" customHeight="1" spans="2:4" x14ac:dyDescent="0.25">
      <c r="B56" s="33" t="s">
        <v>450</v>
      </c>
      <c r="C56" s="51">
        <v>0</v>
      </c>
      <c r="D56" s="35" t="s">
        <v>451</v>
      </c>
    </row>
    <row r="57" ht="19" customHeight="1" spans="2:4" x14ac:dyDescent="0.25">
      <c r="B57" s="29" t="s">
        <v>452</v>
      </c>
      <c r="C57" s="36">
        <v>0</v>
      </c>
      <c r="D57" s="32" t="s">
        <v>453</v>
      </c>
    </row>
    <row r="58" ht="19" customHeight="1" spans="2:4" x14ac:dyDescent="0.25">
      <c r="B58" s="33" t="s">
        <v>454</v>
      </c>
      <c r="C58" s="91">
        <v>0</v>
      </c>
      <c r="D58" s="35" t="s">
        <v>455</v>
      </c>
    </row>
    <row r="59" ht="19" customHeight="1" spans="2:4" x14ac:dyDescent="0.25">
      <c r="B59" s="29" t="s">
        <v>456</v>
      </c>
      <c r="C59" s="92">
        <v>0</v>
      </c>
      <c r="D59" s="32" t="s">
        <v>457</v>
      </c>
    </row>
    <row r="60" ht="19" customHeight="1" spans="2:4" x14ac:dyDescent="0.25">
      <c r="B60" s="33" t="s">
        <v>458</v>
      </c>
      <c r="C60" s="91">
        <v>0</v>
      </c>
      <c r="D60" s="35" t="s">
        <v>459</v>
      </c>
    </row>
    <row r="61" ht="19" customHeight="1" spans="2:4" x14ac:dyDescent="0.25">
      <c r="B61" s="29" t="s">
        <v>460</v>
      </c>
      <c r="C61" s="32">
        <v>0</v>
      </c>
      <c r="D61" s="32" t="s">
        <v>73</v>
      </c>
    </row>
    <row r="62" ht="19" customHeight="1" spans="2:4" x14ac:dyDescent="0.25">
      <c r="B62" s="33" t="s">
        <v>461</v>
      </c>
      <c r="C62" s="35">
        <v>0</v>
      </c>
      <c r="D62" s="35" t="s">
        <v>73</v>
      </c>
    </row>
    <row r="63" ht="19" customHeight="1" spans="2:4" x14ac:dyDescent="0.25">
      <c r="B63" s="29" t="s">
        <v>462</v>
      </c>
      <c r="C63" s="32">
        <v>2000</v>
      </c>
      <c r="D63" s="32" t="s">
        <v>73</v>
      </c>
    </row>
    <row r="64" ht="19" customHeight="1" spans="2:4" x14ac:dyDescent="0.25">
      <c r="B64" s="33" t="s">
        <v>463</v>
      </c>
      <c r="C64" s="35" t="s">
        <v>147</v>
      </c>
      <c r="D64" s="35" t="s">
        <v>73</v>
      </c>
    </row>
    <row r="65" ht="19" customHeight="1" spans="2:4" x14ac:dyDescent="0.25">
      <c r="B65" s="29" t="s">
        <v>464</v>
      </c>
      <c r="C65" s="32" t="s">
        <v>465</v>
      </c>
      <c r="D65" s="32" t="s">
        <v>73</v>
      </c>
    </row>
    <row r="66" ht="19" customHeight="1" spans="2:4" x14ac:dyDescent="0.25">
      <c r="B66" s="33" t="s">
        <v>466</v>
      </c>
      <c r="C66" s="35" t="s">
        <v>147</v>
      </c>
      <c r="D66" s="35" t="s">
        <v>73</v>
      </c>
    </row>
    <row r="67" ht="19" customHeight="1" spans="2:4" x14ac:dyDescent="0.25">
      <c r="B67" s="29" t="s">
        <v>467</v>
      </c>
      <c r="C67" s="32" t="s">
        <v>147</v>
      </c>
      <c r="D67" s="32" t="s">
        <v>73</v>
      </c>
    </row>
    <row r="68" ht="19" customHeight="1" spans="2:4" x14ac:dyDescent="0.25">
      <c r="B68" s="33" t="s">
        <v>468</v>
      </c>
      <c r="C68" s="35" t="s">
        <v>469</v>
      </c>
      <c r="D68" s="35" t="s">
        <v>73</v>
      </c>
    </row>
    <row r="69" ht="19" customHeight="1" spans="2:4" x14ac:dyDescent="0.25">
      <c r="B69" s="29" t="s">
        <v>470</v>
      </c>
      <c r="C69" s="32" t="s">
        <v>82</v>
      </c>
      <c r="D69" s="32" t="s">
        <v>73</v>
      </c>
    </row>
    <row r="72" ht="24" customHeight="1" spans="2:14" x14ac:dyDescent="0.25">
      <c r="B72" s="18" t="s">
        <v>471</v>
      </c>
      <c r="C72" s="18"/>
      <c r="D72" s="18"/>
      <c r="E72" s="18"/>
      <c r="F72" s="18"/>
      <c r="G72" s="18"/>
      <c r="H72" s="18"/>
      <c r="I72" s="18"/>
      <c r="J72" s="18"/>
      <c r="K72" s="18"/>
      <c r="L72" s="18"/>
      <c r="M72" s="18"/>
      <c r="N72" s="18"/>
    </row>
    <row r="74" spans="2:14" x14ac:dyDescent="0.25">
      <c r="B74" s="25" t="s">
        <v>472</v>
      </c>
      <c r="C74" s="25"/>
      <c r="D74" s="25"/>
      <c r="E74" s="25"/>
      <c r="F74" s="25"/>
      <c r="G74" s="25"/>
      <c r="H74" s="25"/>
      <c r="I74" s="25"/>
      <c r="J74" s="25"/>
      <c r="K74" s="25"/>
      <c r="L74" s="25"/>
      <c r="M74" s="25"/>
      <c r="N74" s="25"/>
    </row>
    <row r="75" spans="2:14" x14ac:dyDescent="0.25">
      <c r="B75" s="25" t="s">
        <v>473</v>
      </c>
      <c r="C75" s="25"/>
      <c r="D75" s="25"/>
      <c r="E75" s="25"/>
      <c r="F75" s="25"/>
      <c r="G75" s="25"/>
      <c r="H75" s="25"/>
      <c r="I75" s="25"/>
      <c r="J75" s="25"/>
      <c r="K75" s="25"/>
      <c r="L75" s="25"/>
      <c r="M75" s="25"/>
      <c r="N75" s="25"/>
    </row>
    <row r="78" spans="2:14" x14ac:dyDescent="0.25">
      <c r="B78" s="40" t="s">
        <v>67</v>
      </c>
      <c r="C78" s="40"/>
      <c r="D78" s="40"/>
      <c r="E78" s="40"/>
      <c r="F78" s="40"/>
      <c r="G78" s="40"/>
      <c r="H78" s="40"/>
      <c r="I78" s="40"/>
      <c r="J78" s="40"/>
      <c r="K78" s="40"/>
      <c r="L78" s="40"/>
      <c r="M78" s="40"/>
      <c r="N78" s="40"/>
    </row>
  </sheetData>
  <autoFilter ref="B40:D40"/>
  <mergeCells count="10">
    <mergeCell ref="B2:N2"/>
    <mergeCell ref="B3:N3"/>
    <mergeCell ref="B5:N5"/>
    <mergeCell ref="B17:N17"/>
    <mergeCell ref="B29:N29"/>
    <mergeCell ref="B38:N38"/>
    <mergeCell ref="B72:N72"/>
    <mergeCell ref="B74:N74"/>
    <mergeCell ref="B75:N75"/>
    <mergeCell ref="B78:N78"/>
  </mergeCells>
  <pageSetup paperSize="9" orientation="landscape" fitToWidth="1" fitToHeight="0"/>
  <headerFooter>
    <oddFooter>&amp;L&amp;8BuildFi Technologies inc.&amp;C&amp;8Page &amp;P / &amp;N&amp;R&amp;8&amp;D</oddFooter>
  </headerFooter>
  <rowBreaks count="1" manualBreakCount="1">
    <brk id="38" max="1683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00 - Couverture</vt:lpstr>
      <vt:lpstr>01 - README</vt:lpstr>
      <vt:lpstr>Sommaire</vt:lpstr>
      <vt:lpstr>Profil</vt:lpstr>
      <vt:lpstr>Conjoint(e)</vt:lpstr>
      <vt:lpstr>Diagnostic</vt:lpstr>
      <vt:lpstr>Projection déterministe</vt:lpstr>
      <vt:lpstr>Flux de trésorerie</vt:lpstr>
      <vt:lpstr>MC — Patrimoine</vt:lpstr>
      <vt:lpstr>Retraits détaillés</vt:lpstr>
      <vt:lpstr>Fiscalité</vt:lpstr>
      <vt:lpstr>Sensibilité &amp; Stress</vt:lpstr>
      <vt:lpstr>Succession</vt:lpstr>
      <vt:lpstr>Dettes</vt:lpstr>
      <vt:lpstr>Assurance</vt:lpstr>
      <vt:lpstr>Immobilier</vt:lpstr>
      <vt:lpstr>Entreprise (CCPC)</vt:lpstr>
      <vt:lpstr>Méthodologie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BuildFi Technologies inc.</dc:creator>
  <dc:title/>
  <dc:subject/>
  <dc:description/>
  <cp:keywords/>
  <cp:category/>
  <cp:lastModifiedBy>Unknown</cp:lastModifiedBy>
  <dcterms:created xsi:type="dcterms:W3CDTF">2026-04-21T01:18:18Z</dcterms:created>
  <dcterms:modified xsi:type="dcterms:W3CDTF">2026-04-21T01:18:18Z</dcterms:modified>
</cp:coreProperties>
</file>