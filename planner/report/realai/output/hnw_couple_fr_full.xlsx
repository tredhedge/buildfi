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00 - Couverture" state="visible" r:id="rId4"/>
    <sheet sheetId="2" name="01 - README" state="visible" r:id="rId5"/>
    <sheet sheetId="3" name="Sommaire" state="visible" r:id="rId6"/>
    <sheet sheetId="4" name="Profil" state="visible" r:id="rId7"/>
    <sheet sheetId="5" name="Projection déterministe" state="visible" r:id="rId8"/>
    <sheet sheetId="6" name="Flux de trésorerie" state="visible" r:id="rId9"/>
    <sheet sheetId="7" name="MC — Patrimoine" state="visible" r:id="rId10"/>
    <sheet sheetId="8" name="Retraits détaillés" state="visible" r:id="rId11"/>
    <sheet sheetId="9" name="Fiscalité" state="visible" r:id="rId12"/>
    <sheet sheetId="10" name="Sensibilité &amp; Stress" state="visible" r:id="rId13"/>
    <sheet sheetId="11" name="Succession" state="visible" r:id="rId14"/>
    <sheet sheetId="12" name="Immobilier" state="visible" r:id="rId15"/>
    <sheet sheetId="13" name="Entreprise (CCPC)" state="visible" r:id="rId16"/>
    <sheet sheetId="14" name="Méthodologie" state="visible" r:id="rId17"/>
  </sheets>
  <calcPr calcId="171027" fullCalcOnLoad="1"/>
</workbook>
</file>

<file path=xl/sharedStrings.xml><?xml version="1.0" encoding="utf-8"?>
<sst xmlns="http://schemas.openxmlformats.org/spreadsheetml/2006/main" count="439" uniqueCount="291">
  <si>
    <t>RAPPORT DÉTAILLÉ</t>
  </si>
  <si>
    <t>Rapport financier détaillé</t>
  </si>
  <si>
    <t>Francois Dubois</t>
  </si>
  <si>
    <t>17 avril 2026  •  2000 simulations Monte Carlo</t>
  </si>
  <si>
    <t>Taux de succès</t>
  </si>
  <si>
    <t>Patrimoine médian</t>
  </si>
  <si>
    <t>Note du plan</t>
  </si>
  <si>
    <t>Alpha fiscal</t>
  </si>
  <si>
    <t>A-</t>
  </si>
  <si>
    <t>Document généré automatiquement par BuildFi. Les projections sont informatives et ne constituent pas un conseil financier.</t>
  </si>
  <si>
    <t>README — Guide du fichier Excel</t>
  </si>
  <si>
    <t>BuildFi Technologies inc. • buildfi.ca</t>
  </si>
  <si>
    <t>Comment lire ce fichier</t>
  </si>
  <si>
    <t>1) Commencez par l'onglet Sommaire pour la vue exécutive.</t>
  </si>
  <si>
    <t>2) Utilisez Flux de trésorerie et Retraits détaillés pour le pas-à-pas annuel.</t>
  </si>
  <si>
    <t>3) Les montants sont en dollars nominaux sauf indication contraire.</t>
  </si>
  <si>
    <t>4) Les feuilles Sensibilité et Fiscalité montrent les écarts entre stratégies.</t>
  </si>
  <si>
    <t>5) Les résultats ne constituent pas un conseil financier.</t>
  </si>
  <si>
    <t>Navigation rapide</t>
  </si>
  <si>
    <t>Sommaire</t>
  </si>
  <si>
    <t>Profil</t>
  </si>
  <si>
    <t>Projection déterministe</t>
  </si>
  <si>
    <t>Flux de trésorerie</t>
  </si>
  <si>
    <t>MC — Patrimoine</t>
  </si>
  <si>
    <t>Retraits détaillés</t>
  </si>
  <si>
    <t>Fiscalité</t>
  </si>
  <si>
    <t>Sensibilité &amp; Stress</t>
  </si>
  <si>
    <t>Succession</t>
  </si>
  <si>
    <t>Immobilier</t>
  </si>
  <si>
    <t>Entreprise (CCPC)</t>
  </si>
  <si>
    <t>Méthodologie</t>
  </si>
  <si>
    <t>Données financières détaillées</t>
  </si>
  <si>
    <t>Préparé pour Francois Dubois — 17 avril 2026</t>
  </si>
  <si>
    <t>INDICATEURS CLÉS</t>
  </si>
  <si>
    <t>Succès MC</t>
  </si>
  <si>
    <t>Patrimoine ret.</t>
  </si>
  <si>
    <t>Rev. garantis</t>
  </si>
  <si>
    <t>Couverture</t>
  </si>
  <si>
    <t>Couverture faible  •  Épuisement P5 à 84 ans</t>
  </si>
  <si>
    <t>COMPARAISON: OPTIMISÉ vs PAR DÉFAUT</t>
  </si>
  <si>
    <t>Impact net des stratégies fiscales actives</t>
  </si>
  <si>
    <t>Métrique</t>
  </si>
  <si>
    <t>Votre plan</t>
  </si>
  <si>
    <t>Par défaut</t>
  </si>
  <si>
    <t>Delta</t>
  </si>
  <si>
    <t>Notes</t>
  </si>
  <si>
    <t>2000 sims</t>
  </si>
  <si>
    <t>Impôt total nominal</t>
  </si>
  <si>
    <t>Impôt total réel</t>
  </si>
  <si>
    <t>Actualisé</t>
  </si>
  <si>
    <t>Héritage net</t>
  </si>
  <si>
    <t>Années récup. PSV</t>
  </si>
  <si>
    <t>Taux effectif moyen</t>
  </si>
  <si>
    <t>BuildFi Technologies inc. — buildfi.ca  •  Outil informatif. Ne constitue pas un conseil financier. © 2026</t>
  </si>
  <si>
    <t>Profil du client</t>
  </si>
  <si>
    <t>Francois Dubois  •  17 avril 2026</t>
  </si>
  <si>
    <t>INFORMATIONS PERSONNELLES</t>
  </si>
  <si>
    <t>Âge</t>
  </si>
  <si>
    <t>58 ans</t>
  </si>
  <si>
    <t/>
  </si>
  <si>
    <t>Né(e) en 1968</t>
  </si>
  <si>
    <t>Retraite planifiée</t>
  </si>
  <si>
    <t>63 ans</t>
  </si>
  <si>
    <t>Dans 5 ans</t>
  </si>
  <si>
    <t>Horizon</t>
  </si>
  <si>
    <t>92 ans</t>
  </si>
  <si>
    <t>29 ans de retraite</t>
  </si>
  <si>
    <t>Province</t>
  </si>
  <si>
    <t>QC</t>
  </si>
  <si>
    <t>Salaire brut</t>
  </si>
  <si>
    <t>Dépenses retraite</t>
  </si>
  <si>
    <t>ÉPARGNE ET COTISATIONS</t>
  </si>
  <si>
    <t>Soldes actuels, cotisations annuelles et projections</t>
  </si>
  <si>
    <t>Compte</t>
  </si>
  <si>
    <t>Solde actuel</t>
  </si>
  <si>
    <t>Cotis./an</t>
  </si>
  <si>
    <t>Alloc. actions</t>
  </si>
  <si>
    <t>MER</t>
  </si>
  <si>
    <t>Solde retraite</t>
  </si>
  <si>
    <t>Solde décès</t>
  </si>
  <si>
    <t>REER</t>
  </si>
  <si>
    <t>CELI</t>
  </si>
  <si>
    <t>NR</t>
  </si>
  <si>
    <t>CELIAPP</t>
  </si>
  <si>
    <t>Total</t>
  </si>
  <si>
    <t>REVENUS GOUVERNEMENTAUX PROJETÉS</t>
  </si>
  <si>
    <t>Source</t>
  </si>
  <si>
    <t>Début</t>
  </si>
  <si>
    <t>Mensuel</t>
  </si>
  <si>
    <t>Annuel</t>
  </si>
  <si>
    <t>Indexation</t>
  </si>
  <si>
    <t>RRQ/QPP</t>
  </si>
  <si>
    <t>65 ans</t>
  </si>
  <si>
    <t>IPC</t>
  </si>
  <si>
    <t>PSV/OAS</t>
  </si>
  <si>
    <t>RRQ conjoint</t>
  </si>
  <si>
    <t>PSV conjoint</t>
  </si>
  <si>
    <t>—</t>
  </si>
  <si>
    <t>Couverture: 41%</t>
  </si>
  <si>
    <t>Projection déterministe — chemin unique</t>
  </si>
  <si>
    <t>Rendements espérés constants, aucune volatilité  •  Valeurs nominales</t>
  </si>
  <si>
    <t>An</t>
  </si>
  <si>
    <t>FHSA</t>
  </si>
  <si>
    <t>Hypothèque</t>
  </si>
  <si>
    <t>Avoir immo.</t>
  </si>
  <si>
    <t>Total financier</t>
  </si>
  <si>
    <t>Total net</t>
  </si>
  <si>
    <t>Phase</t>
  </si>
  <si>
    <t>Accumulation</t>
  </si>
  <si>
    <t>Décaissement</t>
  </si>
  <si>
    <t>Flux de trésorerie annuel</t>
  </si>
  <si>
    <t>Revenus, dépenses, retraits et impôt</t>
  </si>
  <si>
    <t>Salaire</t>
  </si>
  <si>
    <t>SRG</t>
  </si>
  <si>
    <t>Pension</t>
  </si>
  <si>
    <t>Retraits ép.</t>
  </si>
  <si>
    <t>Dépenses</t>
  </si>
  <si>
    <t>Impôt</t>
  </si>
  <si>
    <t>Taux eff.</t>
  </si>
  <si>
    <t>Rev. imposable</t>
  </si>
  <si>
    <t>Monte Carlo — Distribution du patrimoine financier</t>
  </si>
  <si>
    <t>2000 simulations  •  Percentiles P5/P25/P50/P75/P95</t>
  </si>
  <si>
    <t>Déterministe</t>
  </si>
  <si>
    <t>P5 (pire 5%)</t>
  </si>
  <si>
    <t>P25</t>
  </si>
  <si>
    <t>P50 (médiane)</t>
  </si>
  <si>
    <t>P75</t>
  </si>
  <si>
    <t>P95 (meil. 5%)</t>
  </si>
  <si>
    <t>Écart P50-Det.</t>
  </si>
  <si>
    <t>Fourch. P5-P95</t>
  </si>
  <si>
    <t>Détail des retraits par source et par phase</t>
  </si>
  <si>
    <t>Stratégie optimized: NR → Meltdown → REER → CELI</t>
  </si>
  <si>
    <t>PHASE 1 — PRÉ-RRQ  (63–64 ans)</t>
  </si>
  <si>
    <t>Meltdown actif pour vider le REER dans les paliers bas</t>
  </si>
  <si>
    <t>FERR min.</t>
  </si>
  <si>
    <t>Meltdown</t>
  </si>
  <si>
    <t>REER vol.</t>
  </si>
  <si>
    <t>Total retraits</t>
  </si>
  <si>
    <t>Début retraite</t>
  </si>
  <si>
    <t>Moyenne/an (2 ans)</t>
  </si>
  <si>
    <t>Total: 93 198 $</t>
  </si>
  <si>
    <t>PHASE 2 — POST-PSV  (65–71 ans)</t>
  </si>
  <si>
    <t>RRQ commence</t>
  </si>
  <si>
    <t>Moyenne/an (7 ans)</t>
  </si>
  <si>
    <t>Total: 856 870 $</t>
  </si>
  <si>
    <t>PHASE 3 — FERR  (72+ ans)</t>
  </si>
  <si>
    <t>Retraits FERR minimum obligatoires</t>
  </si>
  <si>
    <t>RRIF</t>
  </si>
  <si>
    <t>Moyenne/an (21 ans)</t>
  </si>
  <si>
    <t>Total: 2 592 231 $</t>
  </si>
  <si>
    <t>Analyse fiscale — QC</t>
  </si>
  <si>
    <t>Paliers 2026  •  Comparaison optimisé vs par défaut</t>
  </si>
  <si>
    <t>GRILLE D'IMPOSITION 2026</t>
  </si>
  <si>
    <t>Fédéral + QC — taux combinés</t>
  </si>
  <si>
    <t>Revenu imposable</t>
  </si>
  <si>
    <t>Fédéral</t>
  </si>
  <si>
    <t>Prov.</t>
  </si>
  <si>
    <t>Taux marg.</t>
  </si>
  <si>
    <t>COMPARAISON FISCALE VIE ENTIÈRE</t>
  </si>
  <si>
    <t>Optimisé</t>
  </si>
  <si>
    <t>Alpha fiscal total</t>
  </si>
  <si>
    <t>Analyse de sensibilité &amp; scénarios de stress</t>
  </si>
  <si>
    <t>TORNADO — CE QUI INFLUENCE LE PLUS VOTRE PLAN</t>
  </si>
  <si>
    <t>Impact estimé sur le patrimoine final</t>
  </si>
  <si>
    <t>Facteur</t>
  </si>
  <si>
    <t>Impact négatif</t>
  </si>
  <si>
    <t>Impact positif</t>
  </si>
  <si>
    <t>Amplitude</t>
  </si>
  <si>
    <t>Interprétation</t>
  </si>
  <si>
    <t>Dépenses/m</t>
  </si>
  <si>
    <t>Âge retraite</t>
  </si>
  <si>
    <t>Inflation</t>
  </si>
  <si>
    <t>PSV début</t>
  </si>
  <si>
    <t>Alloc. REER</t>
  </si>
  <si>
    <t>Rend. actions</t>
  </si>
  <si>
    <t>Alloc. CELI</t>
  </si>
  <si>
    <t>Pension DB</t>
  </si>
  <si>
    <t>SCÉNARIOS DE STRESS</t>
  </si>
  <si>
    <t>Conditions historiques appliquées</t>
  </si>
  <si>
    <t>Scénario</t>
  </si>
  <si>
    <t>Période</t>
  </si>
  <si>
    <t>Succès</t>
  </si>
  <si>
    <t>Patrimoine P50</t>
  </si>
  <si>
    <t>VaR 5%</t>
  </si>
  <si>
    <t>Ruine P5</t>
  </si>
  <si>
    <t>Résilience</t>
  </si>
  <si>
    <t>Description</t>
  </si>
  <si>
    <t>Référence</t>
  </si>
  <si>
    <t>Plan tel que configuré</t>
  </si>
  <si>
    <t>Analyse successorale</t>
  </si>
  <si>
    <t>Distribution MC de l'héritage net  •  Cascade fiscale au décès</t>
  </si>
  <si>
    <t>DISTRIBUTION DE L'HÉRITAGE NET (2000 SIMULATIONS)</t>
  </si>
  <si>
    <t>Percentile</t>
  </si>
  <si>
    <t>Impôt success.</t>
  </si>
  <si>
    <t>Patrimoine brut</t>
  </si>
  <si>
    <t>P5</t>
  </si>
  <si>
    <t>Marchés très défavorables</t>
  </si>
  <si>
    <t>Quart inférieur</t>
  </si>
  <si>
    <t>P50</t>
  </si>
  <si>
    <t>Résultat le plus probable</t>
  </si>
  <si>
    <t>Marchés favorables</t>
  </si>
  <si>
    <t>P95</t>
  </si>
  <si>
    <t>Marchés très haussiers</t>
  </si>
  <si>
    <t>CASCADE FISCALE AU DÉCÈS (MÉDIANE)</t>
  </si>
  <si>
    <t>Composante</t>
  </si>
  <si>
    <t>Montant</t>
  </si>
  <si>
    <t>Taux / base</t>
  </si>
  <si>
    <t>Actifs financiers bruts (P50)</t>
  </si>
  <si>
    <t>Médiane MC</t>
  </si>
  <si>
    <t>(−) Disposition FERR</t>
  </si>
  <si>
    <t>Solde REER × taux marginal QC</t>
  </si>
  <si>
    <t>(−) Gains capital NR</t>
  </si>
  <si>
    <t>50% inclusion sur 30% taux</t>
  </si>
  <si>
    <t>(−) Résidence principale</t>
  </si>
  <si>
    <t>Exempté</t>
  </si>
  <si>
    <t>(−) Frais probate</t>
  </si>
  <si>
    <t>0% (QC)</t>
  </si>
  <si>
    <t>(−) Frais admin.</t>
  </si>
  <si>
    <t>Notaire + comptable</t>
  </si>
  <si>
    <t>(+) Assurance-vie</t>
  </si>
  <si>
    <t>Non imposable</t>
  </si>
  <si>
    <t>HÉRITAGE NET ESTIMÉ</t>
  </si>
  <si>
    <t>MC P50: 1 725 102 $</t>
  </si>
  <si>
    <t>Analyse immobilière</t>
  </si>
  <si>
    <t>Propriétés, hypothèques, trajectoire de l'avoir net</t>
  </si>
  <si>
    <t>Propriété</t>
  </si>
  <si>
    <t>Valeur actuelle</t>
  </si>
  <si>
    <t>Avoir net</t>
  </si>
  <si>
    <t>Taux hyp.</t>
  </si>
  <si>
    <t>Amort.</t>
  </si>
  <si>
    <t>Appréc.</t>
  </si>
  <si>
    <t>Rev. locatif</t>
  </si>
  <si>
    <t>Type</t>
  </si>
  <si>
    <t>Aucune corporation configurée</t>
  </si>
  <si>
    <t>Méthodologie &amp; avis légal</t>
  </si>
  <si>
    <t>Fonctionnement du moteur  •  Paramètres de lissage  •  Avis réglementaire</t>
  </si>
  <si>
    <t>COMPOSANTES DU MOTEUR</t>
  </si>
  <si>
    <t>Détails</t>
  </si>
  <si>
    <t>1. Projection déterministe</t>
  </si>
  <si>
    <t>Chemin unique, rendements espérés</t>
  </si>
  <si>
    <t>optimizeDecum()</t>
  </si>
  <si>
    <t>2. Monte Carlo</t>
  </si>
  <si>
    <t>t-Student (df=5)</t>
  </si>
  <si>
    <t>3. Corrélation</t>
  </si>
  <si>
    <t>5 classes d'actifs</t>
  </si>
  <si>
    <t>Cholesky 5×5</t>
  </si>
  <si>
    <t>4. Fiscalité</t>
  </si>
  <si>
    <t>Paliers progressifs</t>
  </si>
  <si>
    <t>Crédits âge/pension, récup. PSV</t>
  </si>
  <si>
    <t>5. Mortalité</t>
  </si>
  <si>
    <t>6. Retraits</t>
  </si>
  <si>
    <t>Ordre dynamique</t>
  </si>
  <si>
    <t>NR → Meltdown → REER → CELI</t>
  </si>
  <si>
    <t>7. Lissage</t>
  </si>
  <si>
    <t>Évite les variations brusques</t>
  </si>
  <si>
    <t>MC blend 70/30</t>
  </si>
  <si>
    <t>8. Comportemental</t>
  </si>
  <si>
    <t>Ajustement selon l'âge</t>
  </si>
  <si>
    <t>Go 0% / Slow 0% / No 0%</t>
  </si>
  <si>
    <t>CONSTANTES DE LISSAGE</t>
  </si>
  <si>
    <t>Constante</t>
  </si>
  <si>
    <t>Valeur</t>
  </si>
  <si>
    <t>Rôle</t>
  </si>
  <si>
    <t>MELT</t>
  </si>
  <si>
    <t>±40%/an</t>
  </si>
  <si>
    <t>MELT_FLOOR</t>
  </si>
  <si>
    <t>5 000 $</t>
  </si>
  <si>
    <t>SPEND</t>
  </si>
  <si>
    <t>±30%/an</t>
  </si>
  <si>
    <t>SPEND_FLOOR</t>
  </si>
  <si>
    <t>10 000 $</t>
  </si>
  <si>
    <t>BACK</t>
  </si>
  <si>
    <t>±40%</t>
  </si>
  <si>
    <t>BACK_FLOOR</t>
  </si>
  <si>
    <t>15 000 $</t>
  </si>
  <si>
    <t>NR_OVER</t>
  </si>
  <si>
    <t>1.50×</t>
  </si>
  <si>
    <t>MC_BLEND</t>
  </si>
  <si>
    <t>70/30</t>
  </si>
  <si>
    <t>IDENTIFICATION DU RAPPORT</t>
  </si>
  <si>
    <t>Version</t>
  </si>
  <si>
    <t>v11.12.9</t>
  </si>
  <si>
    <t>Date</t>
  </si>
  <si>
    <t>17 avril 2026</t>
  </si>
  <si>
    <t>Client</t>
  </si>
  <si>
    <t>Simulations</t>
  </si>
  <si>
    <t>2000</t>
  </si>
  <si>
    <t>Mortalité</t>
  </si>
  <si>
    <t>AVIS RÉGLEMENTAIRE</t>
  </si>
  <si>
    <t>Les projections sont fournies à titre informatif uniquement et ne constituent pas un conseil financier.</t>
  </si>
  <si>
    <t>BuildFi Technologies inc. n'est pas un conseiller financier.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</si>
</sst>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&quot; $&quot;"/>
    <numFmt numFmtId="165" formatCode="#,##0&quot; K$&quot;"/>
    <numFmt numFmtId="166" formatCode="#,##0&quot; $/m&quot;"/>
    <numFmt numFmtId="167" formatCode="0.0&quot;%&quot;"/>
    <numFmt numFmtId="168" formatCode="+#,##0;-#,##0;0"/>
    <numFmt numFmtId="169" formatCode="#,##0&quot; $&quot;;[Red](#,##0&quot; $&quot;);&quot;-&quot;"/>
    <numFmt numFmtId="170" formatCode="0&quot; ans&quot;"/>
  </numFmts>
  <fonts count="26" x14ac:knownFonts="1">
    <font>
      <color theme="1"/>
      <family val="2"/>
      <scheme val="minor"/>
      <sz val="11"/>
      <name val="Calibri"/>
    </font>
    <font>
      <b/>
      <color rgb="FFC4944A"/>
      <sz val="28"/>
      <name val="Calibri"/>
    </font>
    <font>
      <color rgb="FFC4944A"/>
      <sz val="13"/>
      <name val="Calibri"/>
    </font>
    <font>
      <b/>
      <color rgb="FFFFFFFF"/>
      <sz val="18"/>
      <name val="Calibri"/>
    </font>
    <font>
      <color rgb="FFCCCCCC"/>
      <sz val="10"/>
      <name val="Calibri"/>
    </font>
    <font>
      <color rgb="FF888888"/>
      <sz val="10"/>
      <name val="Calibri"/>
    </font>
    <font>
      <b/>
      <color rgb="FFC4944A"/>
      <sz val="30"/>
      <name val="Calibri"/>
    </font>
    <font>
      <b/>
      <color rgb="FFC4944A"/>
      <sz val="24"/>
      <name val="Calibri"/>
    </font>
    <font>
      <b/>
      <color rgb="FF2A8C46"/>
      <sz val="30"/>
      <name val="Calibri"/>
    </font>
    <font>
      <i/>
      <color rgb="FF888888"/>
      <sz val="11"/>
      <name val="Calibri"/>
    </font>
    <font>
      <b/>
      <color rgb="FFC4944A"/>
      <sz val="18"/>
      <name val="Calibri"/>
    </font>
    <font>
      <b/>
      <color rgb="FFC4944A"/>
      <sz val="13"/>
      <name val="Calibri"/>
    </font>
    <font>
      <color rgb="FF333333"/>
      <sz val="11"/>
      <name val="Calibri"/>
    </font>
    <font>
      <u/>
      <color rgb="FF1D4ED8"/>
      <sz val="11"/>
      <name val="Calibri"/>
    </font>
    <font>
      <b/>
      <color rgb="FFC4944A"/>
      <sz val="22"/>
      <name val="Calibri"/>
    </font>
    <font>
      <b/>
      <color rgb="FFFFFFFF"/>
      <sz val="16"/>
      <name val="Calibri"/>
    </font>
    <font>
      <b/>
      <color rgb="FF2A8C46"/>
      <sz val="22"/>
      <name val="Calibri"/>
    </font>
    <font>
      <i/>
      <color rgb="FF888888"/>
      <sz val="10"/>
      <name val="Calibri"/>
    </font>
    <font>
      <b/>
      <color rgb="FFFFFFFF"/>
      <sz val="11"/>
      <name val="Calibri"/>
    </font>
    <font>
      <i/>
      <color rgb="FF94A3B8"/>
      <sz val="9"/>
      <name val="Calibri"/>
    </font>
    <font>
      <b/>
      <color rgb="FF333333"/>
      <sz val="15"/>
      <name val="Calibri"/>
    </font>
    <font>
      <b/>
      <color rgb="FF333333"/>
      <sz val="11"/>
      <name val="Calibri"/>
    </font>
    <font>
      <b/>
      <color rgb="FFC4944A"/>
      <sz val="11"/>
      <name val="Calibri"/>
    </font>
    <font>
      <b/>
      <color rgb="FFA07830"/>
      <sz val="12"/>
      <name val="Calibri"/>
    </font>
    <font>
      <b/>
      <color rgb="FFC4944A"/>
      <sz val="10"/>
      <name val="Calibri"/>
    </font>
    <font>
      <color rgb="FFB83838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2C2418"/>
      </patternFill>
    </fill>
    <fill>
      <patternFill patternType="solid">
        <fgColor rgb="FFFAF6EF"/>
      </patternFill>
    </fill>
    <fill>
      <patternFill patternType="solid">
        <fgColor rgb="FFC4944A"/>
      </patternFill>
    </fill>
    <fill>
      <patternFill patternType="solid">
        <fgColor rgb="FFF9F7F2"/>
      </patternFill>
    </fill>
    <fill>
      <patternFill patternType="solid">
        <fgColor rgb="FFF5EDE0"/>
      </patternFill>
    </fill>
  </fills>
  <borders count="4">
    <border>
      <left/>
      <right/>
      <top/>
      <bottom/>
      <diagonal/>
    </border>
    <border>
      <left style="thin">
        <color rgb="FFD6D0C4"/>
      </left>
      <right style="thin">
        <color rgb="FFD6D0C4"/>
      </right>
      <top style="thin">
        <color rgb="FFD6D0C4"/>
      </top>
      <bottom style="thin">
        <color rgb="FFD6D0C4"/>
      </bottom>
      <diagonal/>
    </border>
    <border>
      <left/>
      <right/>
      <top/>
      <bottom style="thin">
        <color rgb="FFD6D0C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9" fontId="6" fillId="3" borderId="1" xfId="0" applyNumberFormat="1" applyFont="1" applyFill="1" applyBorder="1" applyAlignment="1">
      <alignment horizontal="center" vertical="center"/>
    </xf>
    <xf numFmtId="164" fontId="7" fillId="3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9" fillId="0" borderId="0" xfId="0" applyFont="1" applyAlignment="1">
      <alignment horizontal="left" vertical="top" wrapText="1"/>
    </xf>
    <xf numFmtId="0" fontId="10" fillId="2" borderId="0" xfId="0" applyFont="1" applyFill="1" applyAlignment="1">
      <alignment horizontal="left" vertical="center"/>
    </xf>
    <xf numFmtId="0" fontId="4" fillId="2" borderId="0" xfId="0" applyFont="1" applyFill="1"/>
    <xf numFmtId="0" fontId="11" fillId="0" borderId="0" xfId="0" applyFont="1"/>
    <xf numFmtId="0" fontId="12" fillId="0" borderId="0" xfId="0" applyFont="1"/>
    <xf numFmtId="0" fontId="13" fillId="0" borderId="2" xfId="0" applyFont="1" applyBorder="1"/>
    <xf numFmtId="0" fontId="14" fillId="2" borderId="0" xfId="0" applyFont="1" applyFill="1" applyAlignment="1">
      <alignment horizontal="left" vertical="center"/>
    </xf>
    <xf numFmtId="0" fontId="15" fillId="2" borderId="0" xfId="0" applyFont="1" applyFill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6" fillId="3" borderId="1" xfId="0" applyFont="1" applyFill="1" applyBorder="1" applyAlignment="1">
      <alignment horizontal="center" vertical="center"/>
    </xf>
    <xf numFmtId="9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0" fontId="17" fillId="0" borderId="0" xfId="0" applyFont="1"/>
    <xf numFmtId="0" fontId="17" fillId="0" borderId="0" xfId="0" applyFont="1" applyAlignment="1">
      <alignment horizontal="left" vertical="center" wrapText="1"/>
    </xf>
    <xf numFmtId="0" fontId="18" fillId="4" borderId="3" xfId="0" applyFont="1" applyFill="1" applyBorder="1" applyAlignment="1">
      <alignment horizontal="left" vertical="center" wrapText="1"/>
    </xf>
    <xf numFmtId="0" fontId="18" fillId="4" borderId="3" xfId="0" applyFont="1" applyFill="1" applyBorder="1" applyAlignment="1">
      <alignment horizontal="right" vertical="center" wrapText="1"/>
    </xf>
    <xf numFmtId="0" fontId="12" fillId="0" borderId="1" xfId="0" applyFont="1" applyBorder="1" applyAlignment="1">
      <alignment horizontal="left" vertical="center"/>
    </xf>
    <xf numFmtId="9" fontId="12" fillId="0" borderId="1" xfId="0" applyNumberFormat="1" applyFont="1" applyBorder="1" applyAlignment="1">
      <alignment horizontal="right" vertical="center"/>
    </xf>
    <xf numFmtId="0" fontId="12" fillId="0" borderId="1" xfId="0" applyFont="1" applyBorder="1" applyAlignment="1">
      <alignment horizontal="right" vertical="center"/>
    </xf>
    <xf numFmtId="0" fontId="12" fillId="5" borderId="1" xfId="0" applyFont="1" applyFill="1" applyBorder="1" applyAlignment="1">
      <alignment horizontal="left" vertical="center"/>
    </xf>
    <xf numFmtId="164" fontId="12" fillId="5" borderId="1" xfId="0" applyNumberFormat="1" applyFont="1" applyFill="1" applyBorder="1" applyAlignment="1">
      <alignment horizontal="right" vertical="center"/>
    </xf>
    <xf numFmtId="0" fontId="12" fillId="5" borderId="1" xfId="0" applyFont="1" applyFill="1" applyBorder="1" applyAlignment="1">
      <alignment horizontal="right" vertical="center"/>
    </xf>
    <xf numFmtId="164" fontId="12" fillId="0" borderId="1" xfId="0" applyNumberFormat="1" applyFont="1" applyBorder="1" applyAlignment="1">
      <alignment horizontal="right" vertical="center"/>
    </xf>
    <xf numFmtId="167" fontId="12" fillId="0" borderId="1" xfId="0" applyNumberFormat="1" applyFont="1" applyBorder="1" applyAlignment="1">
      <alignment horizontal="right" vertical="center"/>
    </xf>
    <xf numFmtId="0" fontId="19" fillId="0" borderId="0" xfId="0" applyFont="1"/>
    <xf numFmtId="0" fontId="20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1" fillId="0" borderId="0" xfId="0" applyFont="1"/>
    <xf numFmtId="164" fontId="0" fillId="0" borderId="0" xfId="0" applyNumberFormat="1"/>
    <xf numFmtId="166" fontId="0" fillId="0" borderId="0" xfId="0" applyNumberFormat="1"/>
    <xf numFmtId="10" fontId="12" fillId="0" borderId="1" xfId="0" applyNumberFormat="1" applyFont="1" applyBorder="1" applyAlignment="1">
      <alignment horizontal="right" vertical="center"/>
    </xf>
    <xf numFmtId="9" fontId="12" fillId="5" borderId="1" xfId="0" applyNumberFormat="1" applyFont="1" applyFill="1" applyBorder="1" applyAlignment="1">
      <alignment horizontal="right" vertical="center"/>
    </xf>
    <xf numFmtId="10" fontId="12" fillId="5" borderId="1" xfId="0" applyNumberFormat="1" applyFont="1" applyFill="1" applyBorder="1" applyAlignment="1">
      <alignment horizontal="right" vertical="center"/>
    </xf>
    <xf numFmtId="0" fontId="22" fillId="0" borderId="1" xfId="0" applyFont="1" applyBorder="1" applyAlignment="1">
      <alignment horizontal="left" vertical="center"/>
    </xf>
    <xf numFmtId="0" fontId="22" fillId="5" borderId="1" xfId="0" applyFont="1" applyFill="1" applyBorder="1" applyAlignment="1">
      <alignment horizontal="left" vertical="center"/>
    </xf>
    <xf numFmtId="0" fontId="17" fillId="5" borderId="1" xfId="0" applyFont="1" applyFill="1" applyBorder="1" applyAlignment="1">
      <alignment horizontal="right" vertical="center"/>
    </xf>
    <xf numFmtId="0" fontId="17" fillId="0" borderId="1" xfId="0" applyFont="1" applyBorder="1" applyAlignment="1">
      <alignment horizontal="right" vertical="center"/>
    </xf>
    <xf numFmtId="167" fontId="12" fillId="5" borderId="1" xfId="0" applyNumberFormat="1" applyFont="1" applyFill="1" applyBorder="1" applyAlignment="1">
      <alignment horizontal="right" vertical="center"/>
    </xf>
    <xf numFmtId="168" fontId="12" fillId="5" borderId="1" xfId="0" applyNumberFormat="1" applyFont="1" applyFill="1" applyBorder="1" applyAlignment="1">
      <alignment horizontal="right" vertical="center"/>
    </xf>
    <xf numFmtId="168" fontId="12" fillId="0" borderId="1" xfId="0" applyNumberFormat="1" applyFont="1" applyBorder="1" applyAlignment="1">
      <alignment horizontal="right" vertical="center"/>
    </xf>
    <xf numFmtId="0" fontId="23" fillId="6" borderId="0" xfId="0" applyFont="1" applyFill="1" applyAlignment="1">
      <alignment horizontal="left" vertical="center"/>
    </xf>
    <xf numFmtId="169" fontId="12" fillId="5" borderId="1" xfId="0" applyNumberFormat="1" applyFont="1" applyFill="1" applyBorder="1" applyAlignment="1">
      <alignment horizontal="right" vertical="center"/>
    </xf>
    <xf numFmtId="169" fontId="12" fillId="0" borderId="1" xfId="0" applyNumberFormat="1" applyFont="1" applyBorder="1" applyAlignment="1">
      <alignment horizontal="right" vertical="center"/>
    </xf>
    <xf numFmtId="0" fontId="24" fillId="5" borderId="1" xfId="0" applyFont="1" applyFill="1" applyBorder="1" applyAlignment="1">
      <alignment horizontal="left" vertical="center"/>
    </xf>
    <xf numFmtId="0" fontId="24" fillId="0" borderId="1" xfId="0" applyFont="1" applyBorder="1" applyAlignment="1">
      <alignment horizontal="left" vertical="center"/>
    </xf>
    <xf numFmtId="164" fontId="12" fillId="5" borderId="1" xfId="0" applyNumberFormat="1" applyFont="1" applyFill="1" applyBorder="1" applyAlignment="1">
      <alignment horizontal="left" vertical="center"/>
    </xf>
    <xf numFmtId="164" fontId="12" fillId="0" borderId="1" xfId="0" applyNumberFormat="1" applyFont="1" applyBorder="1" applyAlignment="1">
      <alignment horizontal="left" vertical="center"/>
    </xf>
    <xf numFmtId="164" fontId="25" fillId="5" borderId="1" xfId="0" applyNumberFormat="1" applyFont="1" applyFill="1" applyBorder="1" applyAlignment="1">
      <alignment horizontal="right" vertical="center"/>
    </xf>
    <xf numFmtId="164" fontId="25" fillId="0" borderId="1" xfId="0" applyNumberFormat="1" applyFont="1" applyBorder="1" applyAlignment="1">
      <alignment horizontal="right" vertical="center"/>
    </xf>
    <xf numFmtId="170" fontId="12" fillId="5" borderId="1" xfId="0" applyNumberFormat="1" applyFont="1" applyFill="1" applyBorder="1" applyAlignment="1">
      <alignment horizontal="right" vertical="center"/>
    </xf>
    <xf numFmtId="164" fontId="22" fillId="5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Sommaire&apos;!A1" TargetMode="External"/><Relationship Id="rId2" Type="http://schemas.openxmlformats.org/officeDocument/2006/relationships/hyperlink" Target="#&apos;Profil&apos;!A1" TargetMode="External"/><Relationship Id="rId3" Type="http://schemas.openxmlformats.org/officeDocument/2006/relationships/hyperlink" Target="#&apos;Projection d&#233;terministe&apos;!A1" TargetMode="External"/><Relationship Id="rId4" Type="http://schemas.openxmlformats.org/officeDocument/2006/relationships/hyperlink" Target="#&apos;Flux de tr&#233;sorerie&apos;!A1" TargetMode="External"/><Relationship Id="rId5" Type="http://schemas.openxmlformats.org/officeDocument/2006/relationships/hyperlink" Target="#&apos;MC &#8212; Patrimoine&apos;!A1" TargetMode="External"/><Relationship Id="rId6" Type="http://schemas.openxmlformats.org/officeDocument/2006/relationships/hyperlink" Target="#&apos;Retraits d&#233;taill&#233;s&apos;!A1" TargetMode="External"/><Relationship Id="rId7" Type="http://schemas.openxmlformats.org/officeDocument/2006/relationships/hyperlink" Target="#&apos;Fiscalit&#233;&apos;!A1" TargetMode="External"/><Relationship Id="rId8" Type="http://schemas.openxmlformats.org/officeDocument/2006/relationships/hyperlink" Target="#&apos;Sensibilit&#233; &amp; Stress&apos;!A1" TargetMode="External"/><Relationship Id="rId9" Type="http://schemas.openxmlformats.org/officeDocument/2006/relationships/hyperlink" Target="#&apos;Succession&apos;!A1" TargetMode="External"/><Relationship Id="rId10" Type="http://schemas.openxmlformats.org/officeDocument/2006/relationships/hyperlink" Target="#&apos;Immobilier&apos;!A1" TargetMode="External"/><Relationship Id="rId11" Type="http://schemas.openxmlformats.org/officeDocument/2006/relationships/hyperlink" Target="#&apos;Entreprise (CCPC)&apos;!A1" TargetMode="External"/><Relationship Id="rId12" Type="http://schemas.openxmlformats.org/officeDocument/2006/relationships/hyperlink" Target="#&apos;M&#233;thodologie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9" width="18" customWidth="1"/>
    <col min="10" max="14" width="14" customWidth="1"/>
  </cols>
  <sheetData>
    <row r="1" ht="42" customHeight="1" spans="1:14" x14ac:dyDescent="0.25">
      <c r="A1" s="1"/>
      <c r="B1" s="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ht="20" customHeight="1" spans="1:14" x14ac:dyDescent="0.25">
      <c r="A2" s="1"/>
      <c r="B2" s="3" t="s">
        <v>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ht="28" customHeight="1" spans="1:14" x14ac:dyDescent="0.25">
      <c r="A3" s="1"/>
      <c r="B3" s="4" t="s">
        <v>2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ht="18" customHeight="1" spans="1:14" x14ac:dyDescent="0.25">
      <c r="A4" s="1"/>
      <c r="B4" s="5" t="s">
        <v>3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ht="12" customHeight="1" spans="1:14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7" ht="18" customHeight="1" spans="2:13" x14ac:dyDescent="0.25">
      <c r="B7" s="6" t="s">
        <v>4</v>
      </c>
      <c r="C7" s="6"/>
      <c r="D7" s="6"/>
      <c r="E7" s="6" t="s">
        <v>5</v>
      </c>
      <c r="F7" s="6"/>
      <c r="G7" s="6"/>
      <c r="H7" s="6" t="s">
        <v>6</v>
      </c>
      <c r="I7" s="6"/>
      <c r="J7" s="6"/>
      <c r="K7" s="6" t="s">
        <v>7</v>
      </c>
      <c r="L7" s="6"/>
      <c r="M7" s="6"/>
    </row>
    <row r="8" ht="48" customHeight="1" spans="2:13" x14ac:dyDescent="0.25">
      <c r="B8" s="7">
        <v>0.8915</v>
      </c>
      <c r="C8" s="7"/>
      <c r="D8" s="7"/>
      <c r="E8" s="8">
        <v>1024551.0034595509</v>
      </c>
      <c r="F8" s="8"/>
      <c r="G8" s="8"/>
      <c r="H8" s="9" t="s">
        <v>8</v>
      </c>
      <c r="I8" s="9"/>
      <c r="J8" s="9"/>
      <c r="K8" s="8">
        <v>0</v>
      </c>
      <c r="L8" s="8"/>
      <c r="M8" s="8"/>
    </row>
    <row r="9" ht="8" customHeight="1" spans="2:13" x14ac:dyDescent="0.25">
      <c r="B9" s="7"/>
      <c r="C9" s="7"/>
      <c r="D9" s="7"/>
      <c r="E9" s="8"/>
      <c r="F9" s="8"/>
      <c r="G9" s="8"/>
      <c r="H9" s="9"/>
      <c r="I9" s="9"/>
      <c r="J9" s="9"/>
      <c r="K9" s="8"/>
      <c r="L9" s="8"/>
      <c r="M9" s="8"/>
    </row>
    <row r="11" spans="2:14" x14ac:dyDescent="0.25">
      <c r="B11" s="10" t="s">
        <v>9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</row>
  </sheetData>
  <mergeCells count="13">
    <mergeCell ref="B1:N1"/>
    <mergeCell ref="B2:N2"/>
    <mergeCell ref="B3:N3"/>
    <mergeCell ref="B4:N4"/>
    <mergeCell ref="B7:D7"/>
    <mergeCell ref="E7:G7"/>
    <mergeCell ref="H7:J7"/>
    <mergeCell ref="K7:M7"/>
    <mergeCell ref="B8:D9"/>
    <mergeCell ref="E8:G9"/>
    <mergeCell ref="H8:J9"/>
    <mergeCell ref="K8:M9"/>
    <mergeCell ref="B11:N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5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26" customWidth="1"/>
    <col min="3" max="3" width="86" customWidth="1"/>
    <col min="4" max="14" width="14" customWidth="1"/>
  </cols>
  <sheetData>
    <row r="1" ht="8" customHeight="1" spans="1:14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34" customHeight="1" spans="1:14" x14ac:dyDescent="0.25">
      <c r="A2" s="1"/>
      <c r="B2" s="11" t="s">
        <v>10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</row>
    <row r="3" ht="18" customHeight="1" spans="1:14" x14ac:dyDescent="0.25">
      <c r="A3" s="1"/>
      <c r="B3" s="12" t="s">
        <v>11</v>
      </c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5" spans="2:2" x14ac:dyDescent="0.25">
      <c r="B5" s="13" t="s">
        <v>12</v>
      </c>
    </row>
    <row r="6" ht="19" customHeight="1" spans="2:14" x14ac:dyDescent="0.25">
      <c r="B6" s="14" t="s">
        <v>13</v>
      </c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</row>
    <row r="7" ht="19" customHeight="1" spans="2:14" x14ac:dyDescent="0.25">
      <c r="B7" s="14" t="s">
        <v>14</v>
      </c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</row>
    <row r="8" ht="19" customHeight="1" spans="2:14" x14ac:dyDescent="0.25">
      <c r="B8" s="14" t="s">
        <v>15</v>
      </c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</row>
    <row r="9" ht="19" customHeight="1" spans="2:14" x14ac:dyDescent="0.25">
      <c r="B9" s="14" t="s">
        <v>16</v>
      </c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</row>
    <row r="10" ht="19" customHeight="1" spans="2:14" x14ac:dyDescent="0.25">
      <c r="B10" s="14" t="s">
        <v>17</v>
      </c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</row>
    <row r="13" spans="2:2" x14ac:dyDescent="0.25">
      <c r="B13" s="13" t="s">
        <v>18</v>
      </c>
    </row>
    <row r="14" ht="19" customHeight="1" spans="2:2" x14ac:dyDescent="0.25">
      <c r="B14" s="15" t="s">
        <v>19</v>
      </c>
    </row>
    <row r="15" ht="19" customHeight="1" spans="2:2" x14ac:dyDescent="0.25">
      <c r="B15" s="15" t="s">
        <v>20</v>
      </c>
    </row>
    <row r="16" ht="19" customHeight="1" spans="2:2" x14ac:dyDescent="0.25">
      <c r="B16" s="15" t="s">
        <v>21</v>
      </c>
    </row>
    <row r="17" ht="19" customHeight="1" spans="2:2" x14ac:dyDescent="0.25">
      <c r="B17" s="15" t="s">
        <v>22</v>
      </c>
    </row>
    <row r="18" ht="19" customHeight="1" spans="2:2" x14ac:dyDescent="0.25">
      <c r="B18" s="15" t="s">
        <v>23</v>
      </c>
    </row>
    <row r="19" ht="19" customHeight="1" spans="2:2" x14ac:dyDescent="0.25">
      <c r="B19" s="15" t="s">
        <v>24</v>
      </c>
    </row>
    <row r="20" ht="19" customHeight="1" spans="2:2" x14ac:dyDescent="0.25">
      <c r="B20" s="15" t="s">
        <v>25</v>
      </c>
    </row>
    <row r="21" ht="19" customHeight="1" spans="2:2" x14ac:dyDescent="0.25">
      <c r="B21" s="15" t="s">
        <v>26</v>
      </c>
    </row>
    <row r="22" ht="19" customHeight="1" spans="2:2" x14ac:dyDescent="0.25">
      <c r="B22" s="15" t="s">
        <v>27</v>
      </c>
    </row>
    <row r="23" ht="19" customHeight="1" spans="2:2" x14ac:dyDescent="0.25">
      <c r="B23" s="15" t="s">
        <v>28</v>
      </c>
    </row>
    <row r="24" ht="19" customHeight="1" spans="2:2" x14ac:dyDescent="0.25">
      <c r="B24" s="15" t="s">
        <v>29</v>
      </c>
    </row>
    <row r="25" ht="19" customHeight="1" spans="2:2" x14ac:dyDescent="0.25">
      <c r="B25" s="15" t="s">
        <v>30</v>
      </c>
    </row>
  </sheetData>
  <mergeCells count="7">
    <mergeCell ref="B2:N2"/>
    <mergeCell ref="B3:N3"/>
    <mergeCell ref="B6:N6"/>
    <mergeCell ref="B7:N7"/>
    <mergeCell ref="B8:N8"/>
    <mergeCell ref="B9:N9"/>
    <mergeCell ref="B10:N10"/>
  </mergeCells>
  <hyperlinks>
    <hyperlink ref="B14" r:id="rId1" location="#'Sommaire'!A1"/>
    <hyperlink ref="B15" r:id="rId2" location="#'Profil'!A1"/>
    <hyperlink ref="B16" r:id="rId3" location="#'Projection déterministe'!A1"/>
    <hyperlink ref="B17" r:id="rId4" location="#'Flux de trésorerie'!A1"/>
    <hyperlink ref="B18" r:id="rId5" location="#'MC — Patrimoine'!A1"/>
    <hyperlink ref="B19" r:id="rId6" location="#'Retraits détaillés'!A1"/>
    <hyperlink ref="B20" r:id="rId7" location="#'Fiscalité'!A1"/>
    <hyperlink ref="B21" r:id="rId8" location="#'Sensibilité &amp; Stress'!A1"/>
    <hyperlink ref="B22" r:id="rId9" location="#'Succession'!A1"/>
    <hyperlink ref="B23" r:id="rId10" location="#'Immobilier'!A1"/>
    <hyperlink ref="B24" r:id="rId11" location="#'Entreprise (CCPC)'!A1"/>
    <hyperlink ref="B25" r:id="rId12" location="#'Méthodologie'!A1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31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8" customWidth="1"/>
    <col min="3" max="14" width="14" customWidth="1"/>
  </cols>
  <sheetData>
    <row r="1" ht="34" customHeight="1" spans="1:14" x14ac:dyDescent="0.25">
      <c r="A1" s="1"/>
      <c r="B1" s="16" t="s">
        <v>0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ht="20" customHeight="1" spans="1:14" x14ac:dyDescent="0.25">
      <c r="A2" s="1"/>
      <c r="B2" s="3" t="s">
        <v>31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ht="24" customHeight="1" spans="1:14" x14ac:dyDescent="0.25">
      <c r="A3" s="1"/>
      <c r="B3" s="17" t="s">
        <v>32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</row>
    <row r="4" ht="18" customHeight="1" spans="1:14" x14ac:dyDescent="0.25">
      <c r="A4" s="1"/>
      <c r="B4" s="5" t="s">
        <v>11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ht="12" customHeight="1" spans="1:14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7" ht="24" customHeight="1" spans="2:14" x14ac:dyDescent="0.25">
      <c r="B7" s="18" t="s">
        <v>33</v>
      </c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</row>
    <row r="8" ht="48" customHeight="1" spans="2:13" x14ac:dyDescent="0.25">
      <c r="B8" s="19" t="s">
        <v>8</v>
      </c>
      <c r="C8" s="19"/>
      <c r="D8" s="20">
        <v>0.8915</v>
      </c>
      <c r="E8" s="20"/>
      <c r="F8" s="21">
        <v>1025</v>
      </c>
      <c r="G8" s="21"/>
      <c r="H8" s="22">
        <v>5246</v>
      </c>
      <c r="I8" s="22"/>
      <c r="J8" s="20">
        <v>0.4096837667653758</v>
      </c>
      <c r="K8" s="20"/>
      <c r="L8" s="21">
        <v>0</v>
      </c>
      <c r="M8" s="21"/>
    </row>
    <row r="9" ht="18" customHeight="1" spans="2:13" x14ac:dyDescent="0.25">
      <c r="B9" s="6" t="s">
        <v>6</v>
      </c>
      <c r="C9" s="6"/>
      <c r="D9" s="6" t="s">
        <v>34</v>
      </c>
      <c r="E9" s="6"/>
      <c r="F9" s="6" t="s">
        <v>35</v>
      </c>
      <c r="G9" s="6"/>
      <c r="H9" s="6" t="s">
        <v>36</v>
      </c>
      <c r="I9" s="6"/>
      <c r="J9" s="6" t="s">
        <v>37</v>
      </c>
      <c r="K9" s="6"/>
      <c r="L9" s="6" t="s">
        <v>7</v>
      </c>
      <c r="M9" s="6"/>
    </row>
    <row r="11" spans="2:14" x14ac:dyDescent="0.25">
      <c r="B11" s="23" t="s">
        <v>38</v>
      </c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</row>
    <row r="13" ht="24" customHeight="1" spans="2:14" x14ac:dyDescent="0.25">
      <c r="B13" s="18" t="s">
        <v>39</v>
      </c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</row>
    <row r="14" ht="16" customHeight="1" spans="2:14" x14ac:dyDescent="0.25">
      <c r="B14" s="24" t="s">
        <v>40</v>
      </c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</row>
    <row r="16" ht="30" customHeight="1" spans="2:6" x14ac:dyDescent="0.25">
      <c r="B16" s="25" t="s">
        <v>41</v>
      </c>
      <c r="C16" s="26" t="s">
        <v>42</v>
      </c>
      <c r="D16" s="26" t="s">
        <v>43</v>
      </c>
      <c r="E16" s="26" t="s">
        <v>44</v>
      </c>
      <c r="F16" s="26" t="s">
        <v>45</v>
      </c>
    </row>
    <row r="17" ht="19" customHeight="1" spans="2:6" x14ac:dyDescent="0.25">
      <c r="B17" s="27" t="s">
        <v>34</v>
      </c>
      <c r="C17" s="28">
        <v>0.8915</v>
      </c>
      <c r="D17" s="29"/>
      <c r="E17" s="29"/>
      <c r="F17" s="29" t="s">
        <v>46</v>
      </c>
    </row>
    <row r="18" ht="19" customHeight="1" spans="2:6" x14ac:dyDescent="0.25">
      <c r="B18" s="30" t="s">
        <v>47</v>
      </c>
      <c r="C18" s="31">
        <v>1633425.5096619548</v>
      </c>
      <c r="D18" s="32"/>
      <c r="E18" s="32"/>
      <c r="F18" s="32"/>
    </row>
    <row r="19" ht="19" customHeight="1" spans="2:6" x14ac:dyDescent="0.25">
      <c r="B19" s="27" t="s">
        <v>48</v>
      </c>
      <c r="C19" s="33">
        <v>1272889</v>
      </c>
      <c r="D19" s="29"/>
      <c r="E19" s="29"/>
      <c r="F19" s="29" t="s">
        <v>49</v>
      </c>
    </row>
    <row r="20" ht="19" customHeight="1" spans="2:6" x14ac:dyDescent="0.25">
      <c r="B20" s="30" t="s">
        <v>5</v>
      </c>
      <c r="C20" s="31">
        <v>1024551.0034595509</v>
      </c>
      <c r="D20" s="32"/>
      <c r="E20" s="32"/>
      <c r="F20" s="32"/>
    </row>
    <row r="21" ht="19" customHeight="1" spans="2:6" x14ac:dyDescent="0.25">
      <c r="B21" s="27" t="s">
        <v>50</v>
      </c>
      <c r="C21" s="33">
        <v>1725102.1541739833</v>
      </c>
      <c r="D21" s="29"/>
      <c r="E21" s="29"/>
      <c r="F21" s="29"/>
    </row>
    <row r="22" ht="19" customHeight="1" spans="2:6" x14ac:dyDescent="0.25">
      <c r="B22" s="30" t="s">
        <v>51</v>
      </c>
      <c r="C22" s="32">
        <v>22</v>
      </c>
      <c r="D22" s="32"/>
      <c r="E22" s="32"/>
      <c r="F22" s="32"/>
    </row>
    <row r="23" ht="19" customHeight="1" spans="2:6" x14ac:dyDescent="0.25">
      <c r="B23" s="27" t="s">
        <v>52</v>
      </c>
      <c r="C23" s="34">
        <v>0.3010612502218105</v>
      </c>
      <c r="D23" s="29"/>
      <c r="E23" s="29"/>
      <c r="F23" s="29"/>
    </row>
    <row r="31" spans="2:14" x14ac:dyDescent="0.25">
      <c r="B31" s="35" t="s">
        <v>53</v>
      </c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</row>
  </sheetData>
  <autoFilter ref="B16:F16"/>
  <mergeCells count="21">
    <mergeCell ref="B1:N1"/>
    <mergeCell ref="B2:N2"/>
    <mergeCell ref="B3:N3"/>
    <mergeCell ref="B4:N4"/>
    <mergeCell ref="B7:N7"/>
    <mergeCell ref="B8:C8"/>
    <mergeCell ref="D8:E8"/>
    <mergeCell ref="F8:G8"/>
    <mergeCell ref="H8:I8"/>
    <mergeCell ref="J8:K8"/>
    <mergeCell ref="L8:M8"/>
    <mergeCell ref="B9:C9"/>
    <mergeCell ref="D9:E9"/>
    <mergeCell ref="F9:G9"/>
    <mergeCell ref="H9:I9"/>
    <mergeCell ref="J9:K9"/>
    <mergeCell ref="L9:M9"/>
    <mergeCell ref="B11:N11"/>
    <mergeCell ref="B13:N13"/>
    <mergeCell ref="B14:N14"/>
    <mergeCell ref="B31:N31"/>
  </mergeCells>
  <pageSetup paperSize="9" orientation="landscape" fitToWidth="1" fitToHeight="0"/>
  <headerFooter>
    <oddFooter>&amp;L&amp;8BuildFi Technologies inc.&amp;C&amp;8Page &amp;P /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N34"/>
  <sheetViews>
    <sheetView workbookViewId="0">
      <pane ySplit="25" topLeftCell="A26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24" customWidth="1"/>
    <col min="3" max="4" width="18" customWidth="1"/>
    <col min="5" max="9" width="16" customWidth="1"/>
    <col min="10" max="14" width="14" customWidth="1"/>
  </cols>
  <sheetData>
    <row r="1" ht="8" customHeight="1" x14ac:dyDescent="0.25"/>
    <row r="2" ht="28" customHeight="1" spans="2:14" x14ac:dyDescent="0.25">
      <c r="B2" s="36" t="s">
        <v>54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ht="16" customHeight="1" spans="2:14" x14ac:dyDescent="0.25">
      <c r="B3" s="37" t="s">
        <v>55</v>
      </c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</row>
    <row r="5" ht="24" customHeight="1" spans="2:14" x14ac:dyDescent="0.25">
      <c r="B5" s="18" t="s">
        <v>56</v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</row>
    <row r="7" ht="19" customHeight="1" spans="2:5" x14ac:dyDescent="0.25">
      <c r="B7" s="38" t="s">
        <v>57</v>
      </c>
      <c r="C7" t="s">
        <v>58</v>
      </c>
      <c r="D7" t="s">
        <v>59</v>
      </c>
      <c r="E7" t="s">
        <v>60</v>
      </c>
    </row>
    <row r="8" ht="19" customHeight="1" spans="2:5" x14ac:dyDescent="0.25">
      <c r="B8" s="38" t="s">
        <v>61</v>
      </c>
      <c r="C8" t="s">
        <v>62</v>
      </c>
      <c r="D8" t="s">
        <v>59</v>
      </c>
      <c r="E8" t="s">
        <v>63</v>
      </c>
    </row>
    <row r="9" ht="19" customHeight="1" spans="2:5" x14ac:dyDescent="0.25">
      <c r="B9" s="38" t="s">
        <v>64</v>
      </c>
      <c r="C9" t="s">
        <v>65</v>
      </c>
      <c r="D9" t="s">
        <v>59</v>
      </c>
      <c r="E9" t="s">
        <v>66</v>
      </c>
    </row>
    <row r="10" ht="19" customHeight="1" spans="2:3" x14ac:dyDescent="0.25">
      <c r="B10" s="38" t="s">
        <v>67</v>
      </c>
      <c r="C10" t="s">
        <v>68</v>
      </c>
    </row>
    <row r="11" ht="19" customHeight="1" spans="2:3" x14ac:dyDescent="0.25">
      <c r="B11" s="38" t="s">
        <v>69</v>
      </c>
      <c r="C11" s="39">
        <v>165000</v>
      </c>
    </row>
    <row r="12" ht="19" customHeight="1" spans="2:3" x14ac:dyDescent="0.25">
      <c r="B12" s="38" t="s">
        <v>70</v>
      </c>
      <c r="C12" s="40">
        <v>9500</v>
      </c>
    </row>
    <row r="14" ht="24" customHeight="1" spans="2:14" x14ac:dyDescent="0.25">
      <c r="B14" s="18" t="s">
        <v>71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</row>
    <row r="15" ht="16" customHeight="1" spans="2:14" x14ac:dyDescent="0.25">
      <c r="B15" s="24" t="s">
        <v>72</v>
      </c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</row>
    <row r="16" ht="30" customHeight="1" spans="2:8" x14ac:dyDescent="0.25">
      <c r="B16" s="25" t="s">
        <v>73</v>
      </c>
      <c r="C16" s="26" t="s">
        <v>74</v>
      </c>
      <c r="D16" s="26" t="s">
        <v>75</v>
      </c>
      <c r="E16" s="26" t="s">
        <v>76</v>
      </c>
      <c r="F16" s="26" t="s">
        <v>77</v>
      </c>
      <c r="G16" s="26" t="s">
        <v>78</v>
      </c>
      <c r="H16" s="26" t="s">
        <v>79</v>
      </c>
    </row>
    <row r="17" ht="19" customHeight="1" spans="2:8" x14ac:dyDescent="0.25">
      <c r="B17" s="27" t="s">
        <v>80</v>
      </c>
      <c r="C17" s="33">
        <v>820000</v>
      </c>
      <c r="D17" s="33">
        <v>0</v>
      </c>
      <c r="E17" s="28">
        <v>0.6</v>
      </c>
      <c r="F17" s="41">
        <v>0.005</v>
      </c>
      <c r="G17" s="33">
        <v>966938.9614978313</v>
      </c>
      <c r="H17" s="33">
        <v>319622.07844406844</v>
      </c>
    </row>
    <row r="18" ht="19" customHeight="1" spans="2:8" x14ac:dyDescent="0.25">
      <c r="B18" s="30" t="s">
        <v>81</v>
      </c>
      <c r="C18" s="31">
        <v>215000</v>
      </c>
      <c r="D18" s="31">
        <v>0</v>
      </c>
      <c r="E18" s="42">
        <v>0.7</v>
      </c>
      <c r="F18" s="43">
        <v>0.0035</v>
      </c>
      <c r="G18" s="31">
        <v>255412.79373727512</v>
      </c>
      <c r="H18" s="31">
        <v>0</v>
      </c>
    </row>
    <row r="19" ht="19" customHeight="1" spans="2:8" x14ac:dyDescent="0.25">
      <c r="B19" s="27" t="s">
        <v>82</v>
      </c>
      <c r="C19" s="33">
        <v>320000</v>
      </c>
      <c r="D19" s="33">
        <v>0</v>
      </c>
      <c r="E19" s="28">
        <v>0.5</v>
      </c>
      <c r="F19" s="41">
        <v>0.004</v>
      </c>
      <c r="G19" s="33">
        <v>377050.6225257439</v>
      </c>
      <c r="H19" s="33">
        <v>407434.0643947037</v>
      </c>
    </row>
    <row r="20" ht="19" customHeight="1" spans="2:8" x14ac:dyDescent="0.25">
      <c r="B20" s="30" t="s">
        <v>83</v>
      </c>
      <c r="C20" s="31">
        <v>0</v>
      </c>
      <c r="D20" s="31">
        <v>0</v>
      </c>
      <c r="E20" s="42">
        <v>0.7</v>
      </c>
      <c r="F20" s="43">
        <v>0.0035</v>
      </c>
      <c r="G20" s="31">
        <v>0</v>
      </c>
      <c r="H20" s="31">
        <v>0</v>
      </c>
    </row>
    <row r="21" ht="19" customHeight="1" spans="2:8" x14ac:dyDescent="0.25">
      <c r="B21" s="44" t="s">
        <v>84</v>
      </c>
      <c r="C21" s="33">
        <v>1355000</v>
      </c>
      <c r="D21" s="33">
        <v>0</v>
      </c>
      <c r="E21" s="29"/>
      <c r="F21" s="29"/>
      <c r="G21" s="33">
        <v>1599402.3777608504</v>
      </c>
      <c r="H21" s="33">
        <v>727056.1428387722</v>
      </c>
    </row>
    <row r="23" ht="24" customHeight="1" spans="2:14" x14ac:dyDescent="0.25">
      <c r="B23" s="18" t="s">
        <v>85</v>
      </c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</row>
    <row r="25" ht="30" customHeight="1" spans="2:7" x14ac:dyDescent="0.25">
      <c r="B25" s="25" t="s">
        <v>86</v>
      </c>
      <c r="C25" s="26" t="s">
        <v>87</v>
      </c>
      <c r="D25" s="26" t="s">
        <v>88</v>
      </c>
      <c r="E25" s="26" t="s">
        <v>89</v>
      </c>
      <c r="F25" s="26" t="s">
        <v>90</v>
      </c>
      <c r="G25" s="26" t="s">
        <v>45</v>
      </c>
    </row>
    <row r="26" ht="19" customHeight="1" spans="2:7" x14ac:dyDescent="0.25">
      <c r="B26" s="30" t="s">
        <v>91</v>
      </c>
      <c r="C26" s="32" t="s">
        <v>92</v>
      </c>
      <c r="D26" s="31">
        <v>1390.0687500000001</v>
      </c>
      <c r="E26" s="31">
        <v>16680.825</v>
      </c>
      <c r="F26" s="32" t="s">
        <v>93</v>
      </c>
      <c r="G26" s="32"/>
    </row>
    <row r="27" ht="19" customHeight="1" spans="2:7" x14ac:dyDescent="0.25">
      <c r="B27" s="27" t="s">
        <v>94</v>
      </c>
      <c r="C27" s="29" t="s">
        <v>92</v>
      </c>
      <c r="D27" s="33">
        <v>508.84749999999997</v>
      </c>
      <c r="E27" s="33">
        <v>6106.17</v>
      </c>
      <c r="F27" s="29" t="s">
        <v>93</v>
      </c>
      <c r="G27" s="29"/>
    </row>
    <row r="28" ht="19" customHeight="1" spans="2:7" x14ac:dyDescent="0.25">
      <c r="B28" s="30" t="s">
        <v>95</v>
      </c>
      <c r="C28" s="32" t="s">
        <v>92</v>
      </c>
      <c r="D28" s="31">
        <v>1112.055</v>
      </c>
      <c r="E28" s="31">
        <v>13344.66</v>
      </c>
      <c r="F28" s="32"/>
      <c r="G28" s="32"/>
    </row>
    <row r="29" ht="19" customHeight="1" spans="2:7" x14ac:dyDescent="0.25">
      <c r="B29" s="27" t="s">
        <v>96</v>
      </c>
      <c r="C29" s="29" t="s">
        <v>92</v>
      </c>
      <c r="D29" s="33">
        <v>742.31</v>
      </c>
      <c r="E29" s="33">
        <v>8907.72</v>
      </c>
      <c r="F29" s="29"/>
      <c r="G29" s="29"/>
    </row>
    <row r="30" ht="19" customHeight="1" spans="2:7" x14ac:dyDescent="0.25">
      <c r="B30" s="45" t="s">
        <v>84</v>
      </c>
      <c r="C30" s="32" t="s">
        <v>97</v>
      </c>
      <c r="D30" s="31">
        <v>5246.402259618288</v>
      </c>
      <c r="E30" s="31">
        <v>62956.82711541945</v>
      </c>
      <c r="F30" s="32"/>
      <c r="G30" s="32" t="s">
        <v>98</v>
      </c>
    </row>
    <row r="34" spans="2:14" x14ac:dyDescent="0.25">
      <c r="B34" s="35" t="s">
        <v>53</v>
      </c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</row>
  </sheetData>
  <autoFilter ref="B25:G25"/>
  <mergeCells count="7">
    <mergeCell ref="B2:N2"/>
    <mergeCell ref="B3:N3"/>
    <mergeCell ref="B5:N5"/>
    <mergeCell ref="B14:N14"/>
    <mergeCell ref="B15:N15"/>
    <mergeCell ref="B23:N23"/>
    <mergeCell ref="B34:N34"/>
  </mergeCells>
  <pageSetup paperSize="9" orientation="landscape" fitToWidth="1" fitToHeight="0"/>
  <headerFooter>
    <oddFooter>&amp;L&amp;8BuildFi Technologies inc.&amp;C&amp;8Page &amp;P /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N43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0" customWidth="1"/>
    <col min="3" max="3" width="8" customWidth="1"/>
    <col min="4" max="12" width="16" customWidth="1"/>
    <col min="13" max="13" width="14" customWidth="1"/>
  </cols>
  <sheetData>
    <row r="1" ht="8" customHeight="1" x14ac:dyDescent="0.25"/>
    <row r="2" ht="28" customHeight="1" spans="2:14" x14ac:dyDescent="0.25">
      <c r="B2" s="36" t="s">
        <v>99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ht="16" customHeight="1" spans="2:14" x14ac:dyDescent="0.25">
      <c r="B3" s="37" t="s">
        <v>100</v>
      </c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</row>
    <row r="5" ht="30" customHeight="1" spans="2:13" x14ac:dyDescent="0.25">
      <c r="B5" s="25" t="s">
        <v>101</v>
      </c>
      <c r="C5" s="26" t="s">
        <v>57</v>
      </c>
      <c r="D5" s="26" t="s">
        <v>80</v>
      </c>
      <c r="E5" s="26" t="s">
        <v>81</v>
      </c>
      <c r="F5" s="26" t="s">
        <v>82</v>
      </c>
      <c r="G5" s="26" t="s">
        <v>102</v>
      </c>
      <c r="H5" s="26" t="s">
        <v>28</v>
      </c>
      <c r="I5" s="26" t="s">
        <v>103</v>
      </c>
      <c r="J5" s="26" t="s">
        <v>104</v>
      </c>
      <c r="K5" s="26" t="s">
        <v>105</v>
      </c>
      <c r="L5" s="26" t="s">
        <v>106</v>
      </c>
      <c r="M5" s="26" t="s">
        <v>107</v>
      </c>
    </row>
    <row r="6" ht="19" customHeight="1" spans="2:13" x14ac:dyDescent="0.25">
      <c r="B6" s="30">
        <v>2026</v>
      </c>
      <c r="C6" s="32">
        <v>58</v>
      </c>
      <c r="D6" s="31">
        <v>857952.7813091923</v>
      </c>
      <c r="E6" s="31">
        <v>236089.5056916594</v>
      </c>
      <c r="F6" s="31">
        <v>326571.25589707</v>
      </c>
      <c r="G6" s="31">
        <v>0</v>
      </c>
      <c r="H6" s="31">
        <v>0</v>
      </c>
      <c r="I6" s="31">
        <v>0</v>
      </c>
      <c r="J6" s="31">
        <f>H6-I6</f>
        <v>0</v>
      </c>
      <c r="K6" s="31">
        <f>SUM(D6:G6)</f>
        <v>1420613.5428979218</v>
      </c>
      <c r="L6" s="31">
        <f>K6+J6</f>
        <v>1420613.5428979218</v>
      </c>
      <c r="M6" s="46" t="s">
        <v>108</v>
      </c>
    </row>
    <row r="7" ht="19" customHeight="1" spans="2:13" x14ac:dyDescent="0.25">
      <c r="B7" s="27">
        <v>2027</v>
      </c>
      <c r="C7" s="29">
        <v>59</v>
      </c>
      <c r="D7" s="33">
        <v>888642.8863021178</v>
      </c>
      <c r="E7" s="33">
        <v>244448.16201282636</v>
      </c>
      <c r="F7" s="33">
        <v>347249.30173245264</v>
      </c>
      <c r="G7" s="33">
        <v>0</v>
      </c>
      <c r="H7" s="33">
        <v>0</v>
      </c>
      <c r="I7" s="33">
        <v>0</v>
      </c>
      <c r="J7" s="33">
        <f>H7-I7</f>
        <v>0</v>
      </c>
      <c r="K7" s="33">
        <f>SUM(D7:G7)</f>
        <v>1480340.3500473967</v>
      </c>
      <c r="L7" s="33">
        <f>K7+J7</f>
        <v>1480340.3500473967</v>
      </c>
      <c r="M7" s="47" t="s">
        <v>108</v>
      </c>
    </row>
    <row r="8" ht="19" customHeight="1" spans="2:13" x14ac:dyDescent="0.25">
      <c r="B8" s="30">
        <v>2028</v>
      </c>
      <c r="C8" s="32">
        <v>60</v>
      </c>
      <c r="D8" s="31">
        <v>919735.9894690446</v>
      </c>
      <c r="E8" s="31">
        <v>267578.6228218619</v>
      </c>
      <c r="F8" s="31">
        <v>347344.5400123693</v>
      </c>
      <c r="G8" s="31">
        <v>0</v>
      </c>
      <c r="H8" s="31">
        <v>0</v>
      </c>
      <c r="I8" s="31">
        <v>0</v>
      </c>
      <c r="J8" s="31">
        <f>H8-I8</f>
        <v>0</v>
      </c>
      <c r="K8" s="31">
        <f>SUM(D8:G8)</f>
        <v>1534659.1523032757</v>
      </c>
      <c r="L8" s="31">
        <f>K8+J8</f>
        <v>1534659.1523032757</v>
      </c>
      <c r="M8" s="46" t="s">
        <v>108</v>
      </c>
    </row>
    <row r="9" ht="19" customHeight="1" spans="2:13" x14ac:dyDescent="0.25">
      <c r="B9" s="27">
        <v>2029</v>
      </c>
      <c r="C9" s="29">
        <v>61</v>
      </c>
      <c r="D9" s="33">
        <v>946364.4911987488</v>
      </c>
      <c r="E9" s="33">
        <v>279906.39246233145</v>
      </c>
      <c r="F9" s="33">
        <v>360534.7743491105</v>
      </c>
      <c r="G9" s="33">
        <v>0</v>
      </c>
      <c r="H9" s="33">
        <v>0</v>
      </c>
      <c r="I9" s="33">
        <v>0</v>
      </c>
      <c r="J9" s="33">
        <f>H9-I9</f>
        <v>0</v>
      </c>
      <c r="K9" s="33">
        <f>SUM(D9:G9)</f>
        <v>1586805.6580101906</v>
      </c>
      <c r="L9" s="33">
        <f>K9+J9</f>
        <v>1586805.6580101906</v>
      </c>
      <c r="M9" s="47" t="s">
        <v>108</v>
      </c>
    </row>
    <row r="10" ht="19" customHeight="1" spans="2:13" x14ac:dyDescent="0.25">
      <c r="B10" s="30">
        <v>2030</v>
      </c>
      <c r="C10" s="32">
        <v>62</v>
      </c>
      <c r="D10" s="31">
        <v>985261.938073581</v>
      </c>
      <c r="E10" s="31">
        <v>289007.67635049636</v>
      </c>
      <c r="F10" s="31">
        <v>380136.61055504665</v>
      </c>
      <c r="G10" s="31">
        <v>0</v>
      </c>
      <c r="H10" s="31">
        <v>0</v>
      </c>
      <c r="I10" s="31">
        <v>0</v>
      </c>
      <c r="J10" s="31">
        <f>H10-I10</f>
        <v>0</v>
      </c>
      <c r="K10" s="31">
        <f>SUM(D10:G10)</f>
        <v>1654406.224979124</v>
      </c>
      <c r="L10" s="31">
        <f>K10+J10</f>
        <v>1654406.224979124</v>
      </c>
      <c r="M10" s="46" t="s">
        <v>108</v>
      </c>
    </row>
    <row r="11" ht="19" customHeight="1" spans="2:13" x14ac:dyDescent="0.25">
      <c r="B11" s="27">
        <v>2031</v>
      </c>
      <c r="C11" s="29">
        <v>63</v>
      </c>
      <c r="D11" s="33">
        <v>966938.9614978313</v>
      </c>
      <c r="E11" s="33">
        <v>255412.79373727512</v>
      </c>
      <c r="F11" s="33">
        <v>377050.6225257439</v>
      </c>
      <c r="G11" s="33">
        <v>0</v>
      </c>
      <c r="H11" s="33">
        <v>0</v>
      </c>
      <c r="I11" s="33">
        <v>0</v>
      </c>
      <c r="J11" s="33">
        <f>H11-I11</f>
        <v>0</v>
      </c>
      <c r="K11" s="33">
        <f>SUM(D11:G11)</f>
        <v>1599402.3777608504</v>
      </c>
      <c r="L11" s="33">
        <f>K11+J11</f>
        <v>1599402.3777608504</v>
      </c>
      <c r="M11" s="47" t="s">
        <v>109</v>
      </c>
    </row>
    <row r="12" ht="19" customHeight="1" spans="2:13" x14ac:dyDescent="0.25">
      <c r="B12" s="30">
        <v>2032</v>
      </c>
      <c r="C12" s="32">
        <v>64</v>
      </c>
      <c r="D12" s="31">
        <v>937039.1384089269</v>
      </c>
      <c r="E12" s="31">
        <v>224005.3176901942</v>
      </c>
      <c r="F12" s="31">
        <v>375890.87996125536</v>
      </c>
      <c r="G12" s="31">
        <v>0</v>
      </c>
      <c r="H12" s="31">
        <v>0</v>
      </c>
      <c r="I12" s="31">
        <v>0</v>
      </c>
      <c r="J12" s="31">
        <f>H12-I12</f>
        <v>0</v>
      </c>
      <c r="K12" s="31">
        <f>SUM(D12:G12)</f>
        <v>1536935.3360603764</v>
      </c>
      <c r="L12" s="31">
        <f>K12+J12</f>
        <v>1536935.3360603764</v>
      </c>
      <c r="M12" s="46" t="s">
        <v>109</v>
      </c>
    </row>
    <row r="13" ht="19" customHeight="1" spans="2:13" x14ac:dyDescent="0.25">
      <c r="B13" s="27">
        <v>2033</v>
      </c>
      <c r="C13" s="29">
        <v>65</v>
      </c>
      <c r="D13" s="33">
        <v>966468.1351718697</v>
      </c>
      <c r="E13" s="33">
        <v>156012.38191321597</v>
      </c>
      <c r="F13" s="33">
        <v>379214.64665105706</v>
      </c>
      <c r="G13" s="33">
        <v>0</v>
      </c>
      <c r="H13" s="33">
        <v>0</v>
      </c>
      <c r="I13" s="33">
        <v>0</v>
      </c>
      <c r="J13" s="33">
        <f>H13-I13</f>
        <v>0</v>
      </c>
      <c r="K13" s="33">
        <f>SUM(D13:G13)</f>
        <v>1501695.1637361427</v>
      </c>
      <c r="L13" s="33">
        <f>K13+J13</f>
        <v>1501695.1637361427</v>
      </c>
      <c r="M13" s="47" t="s">
        <v>109</v>
      </c>
    </row>
    <row r="14" ht="19" customHeight="1" spans="2:13" x14ac:dyDescent="0.25">
      <c r="B14" s="30">
        <v>2034</v>
      </c>
      <c r="C14" s="32">
        <v>66</v>
      </c>
      <c r="D14" s="31">
        <v>979447.7343178475</v>
      </c>
      <c r="E14" s="31">
        <v>94715.13347875333</v>
      </c>
      <c r="F14" s="31">
        <v>411533.3621651688</v>
      </c>
      <c r="G14" s="31">
        <v>0</v>
      </c>
      <c r="H14" s="31">
        <v>0</v>
      </c>
      <c r="I14" s="31">
        <v>0</v>
      </c>
      <c r="J14" s="31">
        <f>H14-I14</f>
        <v>0</v>
      </c>
      <c r="K14" s="31">
        <f>SUM(D14:G14)</f>
        <v>1485696.2299617697</v>
      </c>
      <c r="L14" s="31">
        <f>K14+J14</f>
        <v>1485696.2299617697</v>
      </c>
      <c r="M14" s="46" t="s">
        <v>109</v>
      </c>
    </row>
    <row r="15" ht="19" customHeight="1" spans="2:13" x14ac:dyDescent="0.25">
      <c r="B15" s="27">
        <v>2035</v>
      </c>
      <c r="C15" s="29">
        <v>67</v>
      </c>
      <c r="D15" s="33">
        <v>996705.787587972</v>
      </c>
      <c r="E15" s="33">
        <v>59134.816558764505</v>
      </c>
      <c r="F15" s="33">
        <v>415650.10262969363</v>
      </c>
      <c r="G15" s="33">
        <v>0</v>
      </c>
      <c r="H15" s="33">
        <v>0</v>
      </c>
      <c r="I15" s="33">
        <v>0</v>
      </c>
      <c r="J15" s="33">
        <f>H15-I15</f>
        <v>0</v>
      </c>
      <c r="K15" s="33">
        <f>SUM(D15:G15)</f>
        <v>1471490.7067764301</v>
      </c>
      <c r="L15" s="33">
        <f>K15+J15</f>
        <v>1471490.7067764301</v>
      </c>
      <c r="M15" s="47" t="s">
        <v>109</v>
      </c>
    </row>
    <row r="16" ht="19" customHeight="1" spans="2:13" x14ac:dyDescent="0.25">
      <c r="B16" s="30">
        <v>2036</v>
      </c>
      <c r="C16" s="32">
        <v>68</v>
      </c>
      <c r="D16" s="31">
        <v>993731.3615510444</v>
      </c>
      <c r="E16" s="31">
        <v>0</v>
      </c>
      <c r="F16" s="31">
        <v>409797.4149783043</v>
      </c>
      <c r="G16" s="31">
        <v>0</v>
      </c>
      <c r="H16" s="31">
        <v>0</v>
      </c>
      <c r="I16" s="31">
        <v>0</v>
      </c>
      <c r="J16" s="31">
        <f>H16-I16</f>
        <v>0</v>
      </c>
      <c r="K16" s="31">
        <f>SUM(D16:G16)</f>
        <v>1403528.7765293487</v>
      </c>
      <c r="L16" s="31">
        <f>K16+J16</f>
        <v>1403528.7765293487</v>
      </c>
      <c r="M16" s="46" t="s">
        <v>109</v>
      </c>
    </row>
    <row r="17" ht="19" customHeight="1" spans="2:13" x14ac:dyDescent="0.25">
      <c r="B17" s="27">
        <v>2037</v>
      </c>
      <c r="C17" s="29">
        <v>69</v>
      </c>
      <c r="D17" s="33">
        <v>1001258.9086812998</v>
      </c>
      <c r="E17" s="33">
        <v>0</v>
      </c>
      <c r="F17" s="33">
        <v>425556.29492373695</v>
      </c>
      <c r="G17" s="33">
        <v>0</v>
      </c>
      <c r="H17" s="33">
        <v>0</v>
      </c>
      <c r="I17" s="33">
        <v>0</v>
      </c>
      <c r="J17" s="33">
        <f>H17-I17</f>
        <v>0</v>
      </c>
      <c r="K17" s="33">
        <f>SUM(D17:G17)</f>
        <v>1426815.2036050367</v>
      </c>
      <c r="L17" s="33">
        <f>K17+J17</f>
        <v>1426815.2036050367</v>
      </c>
      <c r="M17" s="47" t="s">
        <v>109</v>
      </c>
    </row>
    <row r="18" ht="19" customHeight="1" spans="2:13" x14ac:dyDescent="0.25">
      <c r="B18" s="30">
        <v>2038</v>
      </c>
      <c r="C18" s="32">
        <v>70</v>
      </c>
      <c r="D18" s="31">
        <v>1012201.6847279734</v>
      </c>
      <c r="E18" s="31">
        <v>0</v>
      </c>
      <c r="F18" s="31">
        <v>299008.71582440566</v>
      </c>
      <c r="G18" s="31">
        <v>0</v>
      </c>
      <c r="H18" s="31">
        <v>0</v>
      </c>
      <c r="I18" s="31">
        <v>0</v>
      </c>
      <c r="J18" s="31">
        <f>H18-I18</f>
        <v>0</v>
      </c>
      <c r="K18" s="31">
        <f>SUM(D18:G18)</f>
        <v>1311210.400552379</v>
      </c>
      <c r="L18" s="31">
        <f>K18+J18</f>
        <v>1311210.400552379</v>
      </c>
      <c r="M18" s="46" t="s">
        <v>109</v>
      </c>
    </row>
    <row r="19" ht="19" customHeight="1" spans="2:13" x14ac:dyDescent="0.25">
      <c r="B19" s="27">
        <v>2039</v>
      </c>
      <c r="C19" s="29">
        <v>71</v>
      </c>
      <c r="D19" s="33">
        <v>982974.3515561827</v>
      </c>
      <c r="E19" s="33">
        <v>0</v>
      </c>
      <c r="F19" s="33">
        <v>379159.4682287818</v>
      </c>
      <c r="G19" s="33">
        <v>0</v>
      </c>
      <c r="H19" s="33">
        <v>0</v>
      </c>
      <c r="I19" s="33">
        <v>0</v>
      </c>
      <c r="J19" s="33">
        <f>H19-I19</f>
        <v>0</v>
      </c>
      <c r="K19" s="33">
        <f>SUM(D19:G19)</f>
        <v>1362133.8197849644</v>
      </c>
      <c r="L19" s="33">
        <f>K19+J19</f>
        <v>1362133.8197849644</v>
      </c>
      <c r="M19" s="47" t="s">
        <v>109</v>
      </c>
    </row>
    <row r="20" ht="19" customHeight="1" spans="2:13" x14ac:dyDescent="0.25">
      <c r="B20" s="30">
        <v>2040</v>
      </c>
      <c r="C20" s="32">
        <v>72</v>
      </c>
      <c r="D20" s="31">
        <v>977482.2248834791</v>
      </c>
      <c r="E20" s="31">
        <v>0</v>
      </c>
      <c r="F20" s="31">
        <v>210601.11412344564</v>
      </c>
      <c r="G20" s="31">
        <v>0</v>
      </c>
      <c r="H20" s="31">
        <v>0</v>
      </c>
      <c r="I20" s="31">
        <v>0</v>
      </c>
      <c r="J20" s="31">
        <f>H20-I20</f>
        <v>0</v>
      </c>
      <c r="K20" s="31">
        <f>SUM(D20:G20)</f>
        <v>1188083.3390069248</v>
      </c>
      <c r="L20" s="31">
        <f>K20+J20</f>
        <v>1188083.3390069248</v>
      </c>
      <c r="M20" s="46" t="s">
        <v>109</v>
      </c>
    </row>
    <row r="21" ht="19" customHeight="1" spans="2:13" x14ac:dyDescent="0.25">
      <c r="B21" s="27">
        <v>2041</v>
      </c>
      <c r="C21" s="29">
        <v>73</v>
      </c>
      <c r="D21" s="33">
        <v>974448.606607804</v>
      </c>
      <c r="E21" s="33">
        <v>0</v>
      </c>
      <c r="F21" s="33">
        <v>233159.15215043587</v>
      </c>
      <c r="G21" s="33">
        <v>0</v>
      </c>
      <c r="H21" s="33">
        <v>0</v>
      </c>
      <c r="I21" s="33">
        <v>0</v>
      </c>
      <c r="J21" s="33">
        <f>H21-I21</f>
        <v>0</v>
      </c>
      <c r="K21" s="33">
        <f>SUM(D21:G21)</f>
        <v>1207607.75875824</v>
      </c>
      <c r="L21" s="33">
        <f>K21+J21</f>
        <v>1207607.75875824</v>
      </c>
      <c r="M21" s="47" t="s">
        <v>109</v>
      </c>
    </row>
    <row r="22" ht="19" customHeight="1" spans="2:13" x14ac:dyDescent="0.25">
      <c r="B22" s="30">
        <v>2042</v>
      </c>
      <c r="C22" s="32">
        <v>74</v>
      </c>
      <c r="D22" s="31">
        <v>953746.3804091527</v>
      </c>
      <c r="E22" s="31">
        <v>0</v>
      </c>
      <c r="F22" s="31">
        <v>78034.37655746832</v>
      </c>
      <c r="G22" s="31">
        <v>0</v>
      </c>
      <c r="H22" s="31">
        <v>0</v>
      </c>
      <c r="I22" s="31">
        <v>0</v>
      </c>
      <c r="J22" s="31">
        <f>H22-I22</f>
        <v>0</v>
      </c>
      <c r="K22" s="31">
        <f>SUM(D22:G22)</f>
        <v>1031780.756966621</v>
      </c>
      <c r="L22" s="31">
        <f>K22+J22</f>
        <v>1031780.756966621</v>
      </c>
      <c r="M22" s="46" t="s">
        <v>109</v>
      </c>
    </row>
    <row r="23" ht="19" customHeight="1" spans="2:13" x14ac:dyDescent="0.25">
      <c r="B23" s="27">
        <v>2043</v>
      </c>
      <c r="C23" s="29">
        <v>75</v>
      </c>
      <c r="D23" s="33">
        <v>923941.4916489874</v>
      </c>
      <c r="E23" s="33">
        <v>0</v>
      </c>
      <c r="F23" s="33">
        <v>167970.27098407916</v>
      </c>
      <c r="G23" s="33">
        <v>0</v>
      </c>
      <c r="H23" s="33">
        <v>0</v>
      </c>
      <c r="I23" s="33">
        <v>0</v>
      </c>
      <c r="J23" s="33">
        <f>H23-I23</f>
        <v>0</v>
      </c>
      <c r="K23" s="33">
        <f>SUM(D23:G23)</f>
        <v>1091911.7626330666</v>
      </c>
      <c r="L23" s="33">
        <f>K23+J23</f>
        <v>1091911.7626330666</v>
      </c>
      <c r="M23" s="47" t="s">
        <v>109</v>
      </c>
    </row>
    <row r="24" ht="19" customHeight="1" spans="2:13" x14ac:dyDescent="0.25">
      <c r="B24" s="30">
        <v>2044</v>
      </c>
      <c r="C24" s="32">
        <v>76</v>
      </c>
      <c r="D24" s="31">
        <v>907554.5205837587</v>
      </c>
      <c r="E24" s="31">
        <v>0</v>
      </c>
      <c r="F24" s="31">
        <v>423524.8387518634</v>
      </c>
      <c r="G24" s="31">
        <v>0</v>
      </c>
      <c r="H24" s="31">
        <v>0</v>
      </c>
      <c r="I24" s="31">
        <v>0</v>
      </c>
      <c r="J24" s="31">
        <f>H24-I24</f>
        <v>0</v>
      </c>
      <c r="K24" s="31">
        <f>SUM(D24:G24)</f>
        <v>1331079.359335622</v>
      </c>
      <c r="L24" s="31">
        <f>K24+J24</f>
        <v>1331079.359335622</v>
      </c>
      <c r="M24" s="46" t="s">
        <v>109</v>
      </c>
    </row>
    <row r="25" ht="19" customHeight="1" spans="2:13" x14ac:dyDescent="0.25">
      <c r="B25" s="27">
        <v>2045</v>
      </c>
      <c r="C25" s="29">
        <v>77</v>
      </c>
      <c r="D25" s="33">
        <v>858806.7315523204</v>
      </c>
      <c r="E25" s="33">
        <v>0</v>
      </c>
      <c r="F25" s="33">
        <v>489574.6322750484</v>
      </c>
      <c r="G25" s="33">
        <v>0</v>
      </c>
      <c r="H25" s="33">
        <v>0</v>
      </c>
      <c r="I25" s="33">
        <v>0</v>
      </c>
      <c r="J25" s="33">
        <f>H25-I25</f>
        <v>0</v>
      </c>
      <c r="K25" s="33">
        <f>SUM(D25:G25)</f>
        <v>1348381.3638273687</v>
      </c>
      <c r="L25" s="33">
        <f>K25+J25</f>
        <v>1348381.3638273687</v>
      </c>
      <c r="M25" s="47" t="s">
        <v>109</v>
      </c>
    </row>
    <row r="26" ht="19" customHeight="1" spans="2:13" x14ac:dyDescent="0.25">
      <c r="B26" s="30">
        <v>2046</v>
      </c>
      <c r="C26" s="32">
        <v>78</v>
      </c>
      <c r="D26" s="31">
        <v>836135.908148891</v>
      </c>
      <c r="E26" s="31">
        <v>3955.325321391181</v>
      </c>
      <c r="F26" s="31">
        <v>487322.6553835415</v>
      </c>
      <c r="G26" s="31">
        <v>0</v>
      </c>
      <c r="H26" s="31">
        <v>0</v>
      </c>
      <c r="I26" s="31">
        <v>0</v>
      </c>
      <c r="J26" s="31">
        <f>H26-I26</f>
        <v>0</v>
      </c>
      <c r="K26" s="31">
        <f>SUM(D26:G26)</f>
        <v>1327413.8888538238</v>
      </c>
      <c r="L26" s="31">
        <f>K26+J26</f>
        <v>1327413.8888538238</v>
      </c>
      <c r="M26" s="46" t="s">
        <v>109</v>
      </c>
    </row>
    <row r="27" ht="19" customHeight="1" spans="2:13" x14ac:dyDescent="0.25">
      <c r="B27" s="27">
        <v>2047</v>
      </c>
      <c r="C27" s="29">
        <v>79</v>
      </c>
      <c r="D27" s="33">
        <v>816555.3632522211</v>
      </c>
      <c r="E27" s="33">
        <v>0</v>
      </c>
      <c r="F27" s="33">
        <v>464712.60714493226</v>
      </c>
      <c r="G27" s="33">
        <v>0</v>
      </c>
      <c r="H27" s="33">
        <v>0</v>
      </c>
      <c r="I27" s="33">
        <v>0</v>
      </c>
      <c r="J27" s="33">
        <f>H27-I27</f>
        <v>0</v>
      </c>
      <c r="K27" s="33">
        <f>SUM(D27:G27)</f>
        <v>1281267.9703971534</v>
      </c>
      <c r="L27" s="33">
        <f>K27+J27</f>
        <v>1281267.9703971534</v>
      </c>
      <c r="M27" s="47" t="s">
        <v>109</v>
      </c>
    </row>
    <row r="28" ht="19" customHeight="1" spans="2:13" x14ac:dyDescent="0.25">
      <c r="B28" s="30">
        <v>2048</v>
      </c>
      <c r="C28" s="32">
        <v>80</v>
      </c>
      <c r="D28" s="31">
        <v>775711.06925439</v>
      </c>
      <c r="E28" s="31">
        <v>0</v>
      </c>
      <c r="F28" s="31">
        <v>433804.656735623</v>
      </c>
      <c r="G28" s="31">
        <v>0</v>
      </c>
      <c r="H28" s="31">
        <v>0</v>
      </c>
      <c r="I28" s="31">
        <v>0</v>
      </c>
      <c r="J28" s="31">
        <f>H28-I28</f>
        <v>0</v>
      </c>
      <c r="K28" s="31">
        <f>SUM(D28:G28)</f>
        <v>1209515.725990013</v>
      </c>
      <c r="L28" s="31">
        <f>K28+J28</f>
        <v>1209515.725990013</v>
      </c>
      <c r="M28" s="46" t="s">
        <v>109</v>
      </c>
    </row>
    <row r="29" ht="19" customHeight="1" spans="2:13" x14ac:dyDescent="0.25">
      <c r="B29" s="27">
        <v>2049</v>
      </c>
      <c r="C29" s="29">
        <v>81</v>
      </c>
      <c r="D29" s="33">
        <v>728140.6894207937</v>
      </c>
      <c r="E29" s="33">
        <v>0</v>
      </c>
      <c r="F29" s="33">
        <v>250738.46629942177</v>
      </c>
      <c r="G29" s="33">
        <v>0</v>
      </c>
      <c r="H29" s="33">
        <v>0</v>
      </c>
      <c r="I29" s="33">
        <v>0</v>
      </c>
      <c r="J29" s="33">
        <f>H29-I29</f>
        <v>0</v>
      </c>
      <c r="K29" s="33">
        <f>SUM(D29:G29)</f>
        <v>978879.1557202154</v>
      </c>
      <c r="L29" s="33">
        <f>K29+J29</f>
        <v>978879.1557202154</v>
      </c>
      <c r="M29" s="47" t="s">
        <v>109</v>
      </c>
    </row>
    <row r="30" ht="19" customHeight="1" spans="2:13" x14ac:dyDescent="0.25">
      <c r="B30" s="30">
        <v>2050</v>
      </c>
      <c r="C30" s="32">
        <v>82</v>
      </c>
      <c r="D30" s="31">
        <v>680426.4246646697</v>
      </c>
      <c r="E30" s="31">
        <v>0</v>
      </c>
      <c r="F30" s="31">
        <v>564065.7823047211</v>
      </c>
      <c r="G30" s="31">
        <v>0</v>
      </c>
      <c r="H30" s="31">
        <v>0</v>
      </c>
      <c r="I30" s="31">
        <v>0</v>
      </c>
      <c r="J30" s="31">
        <f>H30-I30</f>
        <v>0</v>
      </c>
      <c r="K30" s="31">
        <f>SUM(D30:G30)</f>
        <v>1244492.2069693906</v>
      </c>
      <c r="L30" s="31">
        <f>K30+J30</f>
        <v>1244492.2069693906</v>
      </c>
      <c r="M30" s="46" t="s">
        <v>109</v>
      </c>
    </row>
    <row r="31" ht="19" customHeight="1" spans="2:13" x14ac:dyDescent="0.25">
      <c r="B31" s="27">
        <v>2051</v>
      </c>
      <c r="C31" s="29">
        <v>83</v>
      </c>
      <c r="D31" s="33">
        <v>663658.083364167</v>
      </c>
      <c r="E31" s="33">
        <v>0</v>
      </c>
      <c r="F31" s="33">
        <v>411871.6946786041</v>
      </c>
      <c r="G31" s="33">
        <v>0</v>
      </c>
      <c r="H31" s="33">
        <v>0</v>
      </c>
      <c r="I31" s="33">
        <v>0</v>
      </c>
      <c r="J31" s="33">
        <f>H31-I31</f>
        <v>0</v>
      </c>
      <c r="K31" s="33">
        <f>SUM(D31:G31)</f>
        <v>1075529.7780427712</v>
      </c>
      <c r="L31" s="33">
        <f>K31+J31</f>
        <v>1075529.7780427712</v>
      </c>
      <c r="M31" s="47" t="s">
        <v>109</v>
      </c>
    </row>
    <row r="32" ht="19" customHeight="1" spans="2:13" x14ac:dyDescent="0.25">
      <c r="B32" s="30">
        <v>2052</v>
      </c>
      <c r="C32" s="32">
        <v>84</v>
      </c>
      <c r="D32" s="31">
        <v>620973.0191603503</v>
      </c>
      <c r="E32" s="31">
        <v>0</v>
      </c>
      <c r="F32" s="31">
        <v>559381.4399597038</v>
      </c>
      <c r="G32" s="31">
        <v>0</v>
      </c>
      <c r="H32" s="31">
        <v>0</v>
      </c>
      <c r="I32" s="31">
        <v>0</v>
      </c>
      <c r="J32" s="31">
        <f>H32-I32</f>
        <v>0</v>
      </c>
      <c r="K32" s="31">
        <f>SUM(D32:G32)</f>
        <v>1180354.4591200543</v>
      </c>
      <c r="L32" s="31">
        <f>K32+J32</f>
        <v>1180354.4591200543</v>
      </c>
      <c r="M32" s="46" t="s">
        <v>109</v>
      </c>
    </row>
    <row r="33" ht="19" customHeight="1" spans="2:13" x14ac:dyDescent="0.25">
      <c r="B33" s="27">
        <v>2053</v>
      </c>
      <c r="C33" s="29">
        <v>85</v>
      </c>
      <c r="D33" s="33">
        <v>634788.9918376305</v>
      </c>
      <c r="E33" s="33">
        <v>0</v>
      </c>
      <c r="F33" s="33">
        <v>246547.5925715358</v>
      </c>
      <c r="G33" s="33">
        <v>0</v>
      </c>
      <c r="H33" s="33">
        <v>0</v>
      </c>
      <c r="I33" s="33">
        <v>0</v>
      </c>
      <c r="J33" s="33">
        <f>H33-I33</f>
        <v>0</v>
      </c>
      <c r="K33" s="33">
        <f>SUM(D33:G33)</f>
        <v>881336.5844091664</v>
      </c>
      <c r="L33" s="33">
        <f>K33+J33</f>
        <v>881336.5844091664</v>
      </c>
      <c r="M33" s="47" t="s">
        <v>109</v>
      </c>
    </row>
    <row r="34" ht="19" customHeight="1" spans="2:13" x14ac:dyDescent="0.25">
      <c r="B34" s="30">
        <v>2054</v>
      </c>
      <c r="C34" s="32">
        <v>86</v>
      </c>
      <c r="D34" s="31">
        <v>569085.9170611304</v>
      </c>
      <c r="E34" s="31">
        <v>0</v>
      </c>
      <c r="F34" s="31">
        <v>426004.23754006857</v>
      </c>
      <c r="G34" s="31">
        <v>0</v>
      </c>
      <c r="H34" s="31">
        <v>0</v>
      </c>
      <c r="I34" s="31">
        <v>0</v>
      </c>
      <c r="J34" s="31">
        <f>H34-I34</f>
        <v>0</v>
      </c>
      <c r="K34" s="31">
        <f>SUM(D34:G34)</f>
        <v>995090.154601199</v>
      </c>
      <c r="L34" s="31">
        <f>K34+J34</f>
        <v>995090.154601199</v>
      </c>
      <c r="M34" s="46" t="s">
        <v>109</v>
      </c>
    </row>
    <row r="35" ht="19" customHeight="1" spans="2:13" x14ac:dyDescent="0.25">
      <c r="B35" s="27">
        <v>2055</v>
      </c>
      <c r="C35" s="29">
        <v>87</v>
      </c>
      <c r="D35" s="33">
        <v>586323.930781388</v>
      </c>
      <c r="E35" s="33">
        <v>0</v>
      </c>
      <c r="F35" s="33">
        <v>136891.59120791365</v>
      </c>
      <c r="G35" s="33">
        <v>0</v>
      </c>
      <c r="H35" s="33">
        <v>0</v>
      </c>
      <c r="I35" s="33">
        <v>0</v>
      </c>
      <c r="J35" s="33">
        <f>H35-I35</f>
        <v>0</v>
      </c>
      <c r="K35" s="33">
        <f>SUM(D35:G35)</f>
        <v>723215.5219893015</v>
      </c>
      <c r="L35" s="33">
        <f>K35+J35</f>
        <v>723215.5219893015</v>
      </c>
      <c r="M35" s="47" t="s">
        <v>109</v>
      </c>
    </row>
    <row r="36" ht="19" customHeight="1" spans="2:13" x14ac:dyDescent="0.25">
      <c r="B36" s="30">
        <v>2056</v>
      </c>
      <c r="C36" s="32">
        <v>88</v>
      </c>
      <c r="D36" s="31">
        <v>509011.37375169905</v>
      </c>
      <c r="E36" s="31">
        <v>0</v>
      </c>
      <c r="F36" s="31">
        <v>377603.1051577349</v>
      </c>
      <c r="G36" s="31">
        <v>0</v>
      </c>
      <c r="H36" s="31">
        <v>0</v>
      </c>
      <c r="I36" s="31">
        <v>0</v>
      </c>
      <c r="J36" s="31">
        <f>H36-I36</f>
        <v>0</v>
      </c>
      <c r="K36" s="31">
        <f>SUM(D36:G36)</f>
        <v>886614.4789094339</v>
      </c>
      <c r="L36" s="31">
        <f>K36+J36</f>
        <v>886614.4789094339</v>
      </c>
      <c r="M36" s="46" t="s">
        <v>109</v>
      </c>
    </row>
    <row r="37" ht="19" customHeight="1" spans="2:13" x14ac:dyDescent="0.25">
      <c r="B37" s="27">
        <v>2057</v>
      </c>
      <c r="C37" s="29">
        <v>89</v>
      </c>
      <c r="D37" s="33">
        <v>432243.00863139547</v>
      </c>
      <c r="E37" s="33">
        <v>0</v>
      </c>
      <c r="F37" s="33">
        <v>549750.6597955875</v>
      </c>
      <c r="G37" s="33">
        <v>0</v>
      </c>
      <c r="H37" s="33">
        <v>0</v>
      </c>
      <c r="I37" s="33">
        <v>0</v>
      </c>
      <c r="J37" s="33">
        <f>H37-I37</f>
        <v>0</v>
      </c>
      <c r="K37" s="33">
        <f>SUM(D37:G37)</f>
        <v>981993.6684269831</v>
      </c>
      <c r="L37" s="33">
        <f>K37+J37</f>
        <v>981993.6684269831</v>
      </c>
      <c r="M37" s="47" t="s">
        <v>109</v>
      </c>
    </row>
    <row r="38" ht="19" customHeight="1" spans="2:13" x14ac:dyDescent="0.25">
      <c r="B38" s="30">
        <v>2058</v>
      </c>
      <c r="C38" s="32">
        <v>90</v>
      </c>
      <c r="D38" s="31">
        <v>443974.15652344667</v>
      </c>
      <c r="E38" s="31">
        <v>0</v>
      </c>
      <c r="F38" s="31">
        <v>184904.26349025412</v>
      </c>
      <c r="G38" s="31">
        <v>0</v>
      </c>
      <c r="H38" s="31">
        <v>0</v>
      </c>
      <c r="I38" s="31">
        <v>0</v>
      </c>
      <c r="J38" s="31">
        <f>H38-I38</f>
        <v>0</v>
      </c>
      <c r="K38" s="31">
        <f>SUM(D38:G38)</f>
        <v>628878.4200137008</v>
      </c>
      <c r="L38" s="31">
        <f>K38+J38</f>
        <v>628878.4200137008</v>
      </c>
      <c r="M38" s="46" t="s">
        <v>109</v>
      </c>
    </row>
    <row r="39" ht="19" customHeight="1" spans="2:13" x14ac:dyDescent="0.25">
      <c r="B39" s="27">
        <v>2059</v>
      </c>
      <c r="C39" s="29">
        <v>91</v>
      </c>
      <c r="D39" s="33">
        <v>364018.01848569245</v>
      </c>
      <c r="E39" s="33">
        <v>0</v>
      </c>
      <c r="F39" s="33">
        <v>532928.783781603</v>
      </c>
      <c r="G39" s="33">
        <v>0</v>
      </c>
      <c r="H39" s="33">
        <v>0</v>
      </c>
      <c r="I39" s="33">
        <v>0</v>
      </c>
      <c r="J39" s="33">
        <f>H39-I39</f>
        <v>0</v>
      </c>
      <c r="K39" s="33">
        <f>SUM(D39:G39)</f>
        <v>896946.8022672954</v>
      </c>
      <c r="L39" s="33">
        <f>K39+J39</f>
        <v>896946.8022672954</v>
      </c>
      <c r="M39" s="47" t="s">
        <v>109</v>
      </c>
    </row>
    <row r="40" ht="19" customHeight="1" spans="2:13" x14ac:dyDescent="0.25">
      <c r="B40" s="30">
        <v>2060</v>
      </c>
      <c r="C40" s="32">
        <v>92</v>
      </c>
      <c r="D40" s="31">
        <v>319622.07844406844</v>
      </c>
      <c r="E40" s="31">
        <v>0</v>
      </c>
      <c r="F40" s="31">
        <v>407434.0643947037</v>
      </c>
      <c r="G40" s="31">
        <v>0</v>
      </c>
      <c r="H40" s="31">
        <v>0</v>
      </c>
      <c r="I40" s="31">
        <v>0</v>
      </c>
      <c r="J40" s="31">
        <f>H40-I40</f>
        <v>0</v>
      </c>
      <c r="K40" s="31">
        <f>SUM(D40:G40)</f>
        <v>727056.1428387722</v>
      </c>
      <c r="L40" s="31">
        <f>K40+J40</f>
        <v>727056.1428387722</v>
      </c>
      <c r="M40" s="46" t="s">
        <v>109</v>
      </c>
    </row>
    <row r="43" spans="2:14" x14ac:dyDescent="0.25">
      <c r="B43" s="35" t="s">
        <v>53</v>
      </c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</row>
  </sheetData>
  <autoFilter ref="B5:M5"/>
  <mergeCells count="3">
    <mergeCell ref="B2:N2"/>
    <mergeCell ref="B3:N3"/>
    <mergeCell ref="B43:N43"/>
  </mergeCells>
  <pageSetup paperSize="9" orientation="landscape" fitToWidth="1" fitToHeight="0"/>
  <headerFooter>
    <oddFooter>&amp;L&amp;8BuildFi Technologies inc.&amp;C&amp;8Page &amp;P /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N43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0" customWidth="1"/>
    <col min="3" max="3" width="8" customWidth="1"/>
    <col min="4" max="4" width="14" customWidth="1"/>
    <col min="5" max="8" width="12" customWidth="1"/>
    <col min="9" max="10" width="14" customWidth="1"/>
    <col min="11" max="11" width="12" customWidth="1"/>
    <col min="12" max="12" width="10" customWidth="1"/>
    <col min="13" max="13" width="14" customWidth="1"/>
  </cols>
  <sheetData>
    <row r="1" ht="8" customHeight="1" x14ac:dyDescent="0.25"/>
    <row r="2" ht="28" customHeight="1" spans="2:14" x14ac:dyDescent="0.25">
      <c r="B2" s="36" t="s">
        <v>110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ht="16" customHeight="1" spans="2:14" x14ac:dyDescent="0.25">
      <c r="B3" s="37" t="s">
        <v>111</v>
      </c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</row>
    <row r="5" ht="30" customHeight="1" spans="2:13" x14ac:dyDescent="0.25">
      <c r="B5" s="25" t="s">
        <v>101</v>
      </c>
      <c r="C5" s="26" t="s">
        <v>57</v>
      </c>
      <c r="D5" s="26" t="s">
        <v>112</v>
      </c>
      <c r="E5" s="26" t="s">
        <v>91</v>
      </c>
      <c r="F5" s="26" t="s">
        <v>94</v>
      </c>
      <c r="G5" s="26" t="s">
        <v>113</v>
      </c>
      <c r="H5" s="26" t="s">
        <v>114</v>
      </c>
      <c r="I5" s="26" t="s">
        <v>115</v>
      </c>
      <c r="J5" s="26" t="s">
        <v>116</v>
      </c>
      <c r="K5" s="26" t="s">
        <v>117</v>
      </c>
      <c r="L5" s="26" t="s">
        <v>118</v>
      </c>
      <c r="M5" s="26" t="s">
        <v>119</v>
      </c>
    </row>
    <row r="6" ht="19" customHeight="1" spans="2:13" x14ac:dyDescent="0.25">
      <c r="B6" s="30">
        <v>2026</v>
      </c>
      <c r="C6" s="32">
        <v>58</v>
      </c>
      <c r="D6" s="31">
        <v>165000</v>
      </c>
      <c r="E6" s="31">
        <v>0</v>
      </c>
      <c r="F6" s="31">
        <v>0</v>
      </c>
      <c r="G6" s="31">
        <v>0</v>
      </c>
      <c r="H6" s="31">
        <v>0</v>
      </c>
      <c r="I6" s="31">
        <v>0</v>
      </c>
      <c r="J6" s="31">
        <v>0</v>
      </c>
      <c r="K6" s="31">
        <v>98514.8325</v>
      </c>
      <c r="L6" s="48">
        <f>IFERROR(K6/M6,0)</f>
        <v>0.5970595909090909</v>
      </c>
      <c r="M6" s="31">
        <v>165000</v>
      </c>
    </row>
    <row r="7" ht="19" customHeight="1" spans="2:13" x14ac:dyDescent="0.25">
      <c r="B7" s="27">
        <v>2027</v>
      </c>
      <c r="C7" s="29">
        <v>59</v>
      </c>
      <c r="D7" s="33">
        <v>168464.99999999997</v>
      </c>
      <c r="E7" s="33">
        <v>0</v>
      </c>
      <c r="F7" s="33">
        <v>0</v>
      </c>
      <c r="G7" s="33">
        <v>0</v>
      </c>
      <c r="H7" s="33">
        <v>0</v>
      </c>
      <c r="I7" s="33">
        <v>0</v>
      </c>
      <c r="J7" s="33">
        <v>0</v>
      </c>
      <c r="K7" s="33">
        <v>100583.6439825</v>
      </c>
      <c r="L7" s="34">
        <f>IFERROR(K7/M7,0)</f>
        <v>0.597059590909091</v>
      </c>
      <c r="M7" s="33">
        <v>168464.99999999997</v>
      </c>
    </row>
    <row r="8" ht="19" customHeight="1" spans="2:13" x14ac:dyDescent="0.25">
      <c r="B8" s="30">
        <v>2028</v>
      </c>
      <c r="C8" s="32">
        <v>60</v>
      </c>
      <c r="D8" s="31">
        <v>172002.76499999996</v>
      </c>
      <c r="E8" s="31">
        <v>0</v>
      </c>
      <c r="F8" s="31">
        <v>0</v>
      </c>
      <c r="G8" s="31">
        <v>0</v>
      </c>
      <c r="H8" s="31">
        <v>0</v>
      </c>
      <c r="I8" s="31">
        <v>0</v>
      </c>
      <c r="J8" s="31">
        <v>0</v>
      </c>
      <c r="K8" s="31">
        <v>102695.90050613249</v>
      </c>
      <c r="L8" s="48">
        <f>IFERROR(K8/M8,0)</f>
        <v>0.597059590909091</v>
      </c>
      <c r="M8" s="31">
        <v>172002.76499999996</v>
      </c>
    </row>
    <row r="9" ht="19" customHeight="1" spans="2:13" x14ac:dyDescent="0.25">
      <c r="B9" s="27">
        <v>2029</v>
      </c>
      <c r="C9" s="29">
        <v>61</v>
      </c>
      <c r="D9" s="33">
        <v>175614.82306499995</v>
      </c>
      <c r="E9" s="33">
        <v>0</v>
      </c>
      <c r="F9" s="33">
        <v>0</v>
      </c>
      <c r="G9" s="33">
        <v>0</v>
      </c>
      <c r="H9" s="33">
        <v>0</v>
      </c>
      <c r="I9" s="33">
        <v>0</v>
      </c>
      <c r="J9" s="33">
        <v>0</v>
      </c>
      <c r="K9" s="33">
        <v>104852.51441676125</v>
      </c>
      <c r="L9" s="34">
        <f>IFERROR(K9/M9,0)</f>
        <v>0.5970595909090909</v>
      </c>
      <c r="M9" s="33">
        <v>175614.82306499995</v>
      </c>
    </row>
    <row r="10" ht="19" customHeight="1" spans="2:13" x14ac:dyDescent="0.25">
      <c r="B10" s="30">
        <v>2030</v>
      </c>
      <c r="C10" s="32">
        <v>62</v>
      </c>
      <c r="D10" s="31">
        <v>179302.73434936494</v>
      </c>
      <c r="E10" s="31">
        <v>0</v>
      </c>
      <c r="F10" s="31">
        <v>0</v>
      </c>
      <c r="G10" s="31">
        <v>0</v>
      </c>
      <c r="H10" s="31">
        <v>0</v>
      </c>
      <c r="I10" s="31">
        <v>0</v>
      </c>
      <c r="J10" s="31">
        <v>0</v>
      </c>
      <c r="K10" s="31">
        <v>107054.41721951323</v>
      </c>
      <c r="L10" s="48">
        <f>IFERROR(K10/M10,0)</f>
        <v>0.5970595909090909</v>
      </c>
      <c r="M10" s="31">
        <v>179302.73434936494</v>
      </c>
    </row>
    <row r="11" ht="19" customHeight="1" spans="2:13" x14ac:dyDescent="0.25">
      <c r="B11" s="27">
        <v>2031</v>
      </c>
      <c r="C11" s="29">
        <v>63</v>
      </c>
      <c r="D11" s="33">
        <v>0</v>
      </c>
      <c r="E11" s="33">
        <v>0</v>
      </c>
      <c r="F11" s="33">
        <v>0</v>
      </c>
      <c r="G11" s="33">
        <v>0</v>
      </c>
      <c r="H11" s="33">
        <v>21600</v>
      </c>
      <c r="I11" s="33">
        <v>110183.09796588504</v>
      </c>
      <c r="J11" s="33">
        <v>131783.09796588504</v>
      </c>
      <c r="K11" s="33">
        <v>36628.48762250834</v>
      </c>
      <c r="L11" s="34">
        <f>IFERROR(K11/M11,0)</f>
        <v>0.2779452614779965</v>
      </c>
      <c r="M11" s="33">
        <v>131783.09796588504</v>
      </c>
    </row>
    <row r="12" ht="19" customHeight="1" spans="2:13" x14ac:dyDescent="0.25">
      <c r="B12" s="30">
        <v>2032</v>
      </c>
      <c r="C12" s="32">
        <v>64</v>
      </c>
      <c r="D12" s="31">
        <v>0</v>
      </c>
      <c r="E12" s="31">
        <v>0</v>
      </c>
      <c r="F12" s="31">
        <v>0</v>
      </c>
      <c r="G12" s="31">
        <v>0</v>
      </c>
      <c r="H12" s="31">
        <v>21600</v>
      </c>
      <c r="I12" s="31">
        <v>108980.9686762021</v>
      </c>
      <c r="J12" s="31">
        <v>130580.9686762021</v>
      </c>
      <c r="K12" s="31">
        <v>35675.40979055397</v>
      </c>
      <c r="L12" s="48">
        <f>IFERROR(K12/M12,0)</f>
        <v>0.2732052775547811</v>
      </c>
      <c r="M12" s="31">
        <v>130580.9686762021</v>
      </c>
    </row>
    <row r="13" ht="19" customHeight="1" spans="2:13" x14ac:dyDescent="0.25">
      <c r="B13" s="27">
        <v>2033</v>
      </c>
      <c r="C13" s="29">
        <v>65</v>
      </c>
      <c r="D13" s="33">
        <v>0</v>
      </c>
      <c r="E13" s="33">
        <v>20067.04958281028</v>
      </c>
      <c r="F13" s="33">
        <v>10302.597941466958</v>
      </c>
      <c r="G13" s="33">
        <v>0</v>
      </c>
      <c r="H13" s="33">
        <v>21600</v>
      </c>
      <c r="I13" s="33">
        <v>82274.65939068963</v>
      </c>
      <c r="J13" s="33">
        <v>134244.30691496687</v>
      </c>
      <c r="K13" s="33">
        <v>35428.455063169145</v>
      </c>
      <c r="L13" s="34">
        <f>IFERROR(K13/M13,0)</f>
        <v>0.2639102981522357</v>
      </c>
      <c r="M13" s="33">
        <v>134244.30691496687</v>
      </c>
    </row>
    <row r="14" ht="19" customHeight="1" spans="2:13" x14ac:dyDescent="0.25">
      <c r="B14" s="30">
        <v>2034</v>
      </c>
      <c r="C14" s="32">
        <v>66</v>
      </c>
      <c r="D14" s="31">
        <v>0</v>
      </c>
      <c r="E14" s="31">
        <v>20687.52424762929</v>
      </c>
      <c r="F14" s="31">
        <v>10518.952498237762</v>
      </c>
      <c r="G14" s="31">
        <v>0</v>
      </c>
      <c r="H14" s="31">
        <v>21600</v>
      </c>
      <c r="I14" s="31">
        <v>89795.42170146457</v>
      </c>
      <c r="J14" s="31">
        <v>142601.89844733162</v>
      </c>
      <c r="K14" s="31">
        <v>38651.14469215802</v>
      </c>
      <c r="L14" s="48">
        <f>IFERROR(K14/M14,0)</f>
        <v>0.2710422870452414</v>
      </c>
      <c r="M14" s="31">
        <v>142601.89844733162</v>
      </c>
    </row>
    <row r="15" ht="19" customHeight="1" spans="2:13" x14ac:dyDescent="0.25">
      <c r="B15" s="27">
        <v>2035</v>
      </c>
      <c r="C15" s="29">
        <v>67</v>
      </c>
      <c r="D15" s="33">
        <v>0</v>
      </c>
      <c r="E15" s="33">
        <v>20790.961868867438</v>
      </c>
      <c r="F15" s="33">
        <v>10739.850500700755</v>
      </c>
      <c r="G15" s="33">
        <v>0</v>
      </c>
      <c r="H15" s="33">
        <v>21600</v>
      </c>
      <c r="I15" s="33">
        <v>82101.9613595123</v>
      </c>
      <c r="J15" s="33">
        <v>135232.77372908048</v>
      </c>
      <c r="K15" s="33">
        <v>34995.852769999256</v>
      </c>
      <c r="L15" s="34">
        <f>IFERROR(K15/M15,0)</f>
        <v>0.25878233363835634</v>
      </c>
      <c r="M15" s="33">
        <v>135232.77372908048</v>
      </c>
    </row>
    <row r="16" ht="19" customHeight="1" spans="2:13" x14ac:dyDescent="0.25">
      <c r="B16" s="30">
        <v>2036</v>
      </c>
      <c r="C16" s="32">
        <v>68</v>
      </c>
      <c r="D16" s="31">
        <v>0</v>
      </c>
      <c r="E16" s="31">
        <v>21878.131365792597</v>
      </c>
      <c r="F16" s="31">
        <v>10965.387361215471</v>
      </c>
      <c r="G16" s="31">
        <v>0</v>
      </c>
      <c r="H16" s="31">
        <v>21600</v>
      </c>
      <c r="I16" s="31">
        <v>107155.48453912274</v>
      </c>
      <c r="J16" s="31">
        <v>161599.0032661308</v>
      </c>
      <c r="K16" s="31">
        <v>46208.668922388344</v>
      </c>
      <c r="L16" s="48">
        <f>IFERROR(K16/M16,0)</f>
        <v>0.28594649712219555</v>
      </c>
      <c r="M16" s="31">
        <v>161599.0032661308</v>
      </c>
    </row>
    <row r="17" ht="19" customHeight="1" spans="2:13" x14ac:dyDescent="0.25">
      <c r="B17" s="27">
        <v>2037</v>
      </c>
      <c r="C17" s="29">
        <v>69</v>
      </c>
      <c r="D17" s="33">
        <v>0</v>
      </c>
      <c r="E17" s="33">
        <v>21987.52202262156</v>
      </c>
      <c r="F17" s="33">
        <v>11195.660495800992</v>
      </c>
      <c r="G17" s="33">
        <v>0</v>
      </c>
      <c r="H17" s="33">
        <v>21600</v>
      </c>
      <c r="I17" s="33">
        <v>86532.4541334156</v>
      </c>
      <c r="J17" s="33">
        <v>141315.63665183814</v>
      </c>
      <c r="K17" s="33">
        <v>36622.32930661691</v>
      </c>
      <c r="L17" s="34">
        <f>IFERROR(K17/M17,0)</f>
        <v>0.25915270365192494</v>
      </c>
      <c r="M17" s="33">
        <v>141315.63665183814</v>
      </c>
    </row>
    <row r="18" ht="19" customHeight="1" spans="2:13" x14ac:dyDescent="0.25">
      <c r="B18" s="30">
        <v>2038</v>
      </c>
      <c r="C18" s="32">
        <v>70</v>
      </c>
      <c r="D18" s="31">
        <v>0</v>
      </c>
      <c r="E18" s="31">
        <v>22455.419525583464</v>
      </c>
      <c r="F18" s="31">
        <v>11430.769366212815</v>
      </c>
      <c r="G18" s="31">
        <v>0</v>
      </c>
      <c r="H18" s="31">
        <v>21600</v>
      </c>
      <c r="I18" s="31">
        <v>95970.72922034346</v>
      </c>
      <c r="J18" s="31">
        <v>151456.91811213974</v>
      </c>
      <c r="K18" s="31">
        <v>40398.87862689298</v>
      </c>
      <c r="L18" s="48">
        <f>IFERROR(K18/M18,0)</f>
        <v>0.266735116034656</v>
      </c>
      <c r="M18" s="31">
        <v>151456.91811213974</v>
      </c>
    </row>
    <row r="19" ht="19" customHeight="1" spans="2:13" x14ac:dyDescent="0.25">
      <c r="B19" s="27">
        <v>2039</v>
      </c>
      <c r="C19" s="29">
        <v>71</v>
      </c>
      <c r="D19" s="33">
        <v>0</v>
      </c>
      <c r="E19" s="33">
        <v>23129.523340327185</v>
      </c>
      <c r="F19" s="33">
        <v>11670.815522903282</v>
      </c>
      <c r="G19" s="33">
        <v>0</v>
      </c>
      <c r="H19" s="33">
        <v>21600</v>
      </c>
      <c r="I19" s="33">
        <v>104486.13144284545</v>
      </c>
      <c r="J19" s="33">
        <v>160886.47030607593</v>
      </c>
      <c r="K19" s="33">
        <v>44103.653283255735</v>
      </c>
      <c r="L19" s="34">
        <f>IFERROR(K19/M19,0)</f>
        <v>0.2741290376956585</v>
      </c>
      <c r="M19" s="33">
        <v>160886.47030607593</v>
      </c>
    </row>
    <row r="20" ht="19" customHeight="1" spans="2:13" x14ac:dyDescent="0.25">
      <c r="B20" s="30">
        <v>2040</v>
      </c>
      <c r="C20" s="32">
        <v>72</v>
      </c>
      <c r="D20" s="31">
        <v>0</v>
      </c>
      <c r="E20" s="31">
        <v>23245.17095702882</v>
      </c>
      <c r="F20" s="31">
        <v>11915.902648884248</v>
      </c>
      <c r="G20" s="31">
        <v>0</v>
      </c>
      <c r="H20" s="31">
        <v>21600</v>
      </c>
      <c r="I20" s="31">
        <v>91115.72035044142</v>
      </c>
      <c r="J20" s="31">
        <v>147876.7939563545</v>
      </c>
      <c r="K20" s="31">
        <v>37938.05498984705</v>
      </c>
      <c r="L20" s="48">
        <f>IFERROR(K20/M20,0)</f>
        <v>0.2565517818911085</v>
      </c>
      <c r="M20" s="31">
        <v>147876.7939563545</v>
      </c>
    </row>
    <row r="21" ht="19" customHeight="1" spans="2:13" x14ac:dyDescent="0.25">
      <c r="B21" s="27">
        <v>2041</v>
      </c>
      <c r="C21" s="29">
        <v>73</v>
      </c>
      <c r="D21" s="33">
        <v>0</v>
      </c>
      <c r="E21" s="33">
        <v>23361.39681181396</v>
      </c>
      <c r="F21" s="33">
        <v>12166.136604510819</v>
      </c>
      <c r="G21" s="33">
        <v>0</v>
      </c>
      <c r="H21" s="33">
        <v>21600</v>
      </c>
      <c r="I21" s="33">
        <v>91488.64450981146</v>
      </c>
      <c r="J21" s="33">
        <v>148616.17792613624</v>
      </c>
      <c r="K21" s="33">
        <v>37761.90229255376</v>
      </c>
      <c r="L21" s="34">
        <f>IFERROR(K21/M21,0)</f>
        <v>0.2540901187172355</v>
      </c>
      <c r="M21" s="33">
        <v>148616.17792613624</v>
      </c>
    </row>
    <row r="22" ht="19" customHeight="1" spans="2:13" x14ac:dyDescent="0.25">
      <c r="B22" s="30">
        <v>2042</v>
      </c>
      <c r="C22" s="32">
        <v>74</v>
      </c>
      <c r="D22" s="31">
        <v>0</v>
      </c>
      <c r="E22" s="31">
        <v>23642.512247514253</v>
      </c>
      <c r="F22" s="31">
        <v>12421.625473205546</v>
      </c>
      <c r="G22" s="31">
        <v>0</v>
      </c>
      <c r="H22" s="31">
        <v>21600</v>
      </c>
      <c r="I22" s="31">
        <v>96853.74634649153</v>
      </c>
      <c r="J22" s="31">
        <v>154517.88406721133</v>
      </c>
      <c r="K22" s="31">
        <v>39698.28386711958</v>
      </c>
      <c r="L22" s="48">
        <f>IFERROR(K22/M22,0)</f>
        <v>0.2569170818431078</v>
      </c>
      <c r="M22" s="31">
        <v>154517.88406721133</v>
      </c>
    </row>
    <row r="23" ht="19" customHeight="1" spans="2:13" x14ac:dyDescent="0.25">
      <c r="B23" s="27">
        <v>2043</v>
      </c>
      <c r="C23" s="29">
        <v>75</v>
      </c>
      <c r="D23" s="33">
        <v>0</v>
      </c>
      <c r="E23" s="33">
        <v>24345.732308519222</v>
      </c>
      <c r="F23" s="33">
        <v>13950.727568957149</v>
      </c>
      <c r="G23" s="33">
        <v>0</v>
      </c>
      <c r="H23" s="33">
        <v>21600</v>
      </c>
      <c r="I23" s="33">
        <v>86947.27639556183</v>
      </c>
      <c r="J23" s="33">
        <v>146843.7362730382</v>
      </c>
      <c r="K23" s="33">
        <v>36436.85817596456</v>
      </c>
      <c r="L23" s="34">
        <f>IFERROR(K23/M23,0)</f>
        <v>0.24813355408101725</v>
      </c>
      <c r="M23" s="33">
        <v>146843.7362730382</v>
      </c>
    </row>
    <row r="24" ht="19" customHeight="1" spans="2:13" x14ac:dyDescent="0.25">
      <c r="B24" s="30">
        <v>2044</v>
      </c>
      <c r="C24" s="32">
        <v>76</v>
      </c>
      <c r="D24" s="31">
        <v>0</v>
      </c>
      <c r="E24" s="31">
        <v>25158.571703174057</v>
      </c>
      <c r="F24" s="31">
        <v>14243.692847905246</v>
      </c>
      <c r="G24" s="31">
        <v>0</v>
      </c>
      <c r="H24" s="31">
        <v>21600</v>
      </c>
      <c r="I24" s="31">
        <v>93803.87194085639</v>
      </c>
      <c r="J24" s="31">
        <v>154806.1364919357</v>
      </c>
      <c r="K24" s="31">
        <v>38964.09008130341</v>
      </c>
      <c r="L24" s="48">
        <f>IFERROR(K24/M24,0)</f>
        <v>0.2516960306888943</v>
      </c>
      <c r="M24" s="31">
        <v>154806.1364919357</v>
      </c>
    </row>
    <row r="25" ht="19" customHeight="1" spans="2:13" x14ac:dyDescent="0.25">
      <c r="B25" s="27">
        <v>2045</v>
      </c>
      <c r="C25" s="29">
        <v>77</v>
      </c>
      <c r="D25" s="33">
        <v>0</v>
      </c>
      <c r="E25" s="33">
        <v>25468.323102837785</v>
      </c>
      <c r="F25" s="33">
        <v>14542.810397711255</v>
      </c>
      <c r="G25" s="33">
        <v>0</v>
      </c>
      <c r="H25" s="33">
        <v>21600</v>
      </c>
      <c r="I25" s="33">
        <v>78630.91818298199</v>
      </c>
      <c r="J25" s="33">
        <v>140242.05168353103</v>
      </c>
      <c r="K25" s="33">
        <v>33128.494176948225</v>
      </c>
      <c r="L25" s="34">
        <f>IFERROR(K25/M25,0)</f>
        <v>0.23622368454581436</v>
      </c>
      <c r="M25" s="33">
        <v>140242.05168353103</v>
      </c>
    </row>
    <row r="26" ht="19" customHeight="1" spans="2:13" x14ac:dyDescent="0.25">
      <c r="B26" s="30">
        <v>2046</v>
      </c>
      <c r="C26" s="32">
        <v>78</v>
      </c>
      <c r="D26" s="31">
        <v>0</v>
      </c>
      <c r="E26" s="31">
        <v>25765.400216253853</v>
      </c>
      <c r="F26" s="31">
        <v>14848.209416063186</v>
      </c>
      <c r="G26" s="31">
        <v>0</v>
      </c>
      <c r="H26" s="31">
        <v>21600</v>
      </c>
      <c r="I26" s="31">
        <v>79216.01272788257</v>
      </c>
      <c r="J26" s="31">
        <v>141429.6223601996</v>
      </c>
      <c r="K26" s="31">
        <v>33158.60503037082</v>
      </c>
      <c r="L26" s="48">
        <f>IFERROR(K26/M26,0)</f>
        <v>0.23445304086240806</v>
      </c>
      <c r="M26" s="31">
        <v>141429.6223601996</v>
      </c>
    </row>
    <row r="27" ht="19" customHeight="1" spans="2:13" x14ac:dyDescent="0.25">
      <c r="B27" s="27">
        <v>2047</v>
      </c>
      <c r="C27" s="29">
        <v>79</v>
      </c>
      <c r="D27" s="33">
        <v>0</v>
      </c>
      <c r="E27" s="33">
        <v>25894.227217335116</v>
      </c>
      <c r="F27" s="33">
        <v>15160.021813800515</v>
      </c>
      <c r="G27" s="33">
        <v>0</v>
      </c>
      <c r="H27" s="33">
        <v>21600</v>
      </c>
      <c r="I27" s="33">
        <v>74920.53990013532</v>
      </c>
      <c r="J27" s="33">
        <v>137574.78893127094</v>
      </c>
      <c r="K27" s="33">
        <v>31270.29471017437</v>
      </c>
      <c r="L27" s="34">
        <f>IFERROR(K27/M27,0)</f>
        <v>0.22729669406068476</v>
      </c>
      <c r="M27" s="33">
        <v>137574.78893127094</v>
      </c>
    </row>
    <row r="28" ht="19" customHeight="1" spans="2:13" x14ac:dyDescent="0.25">
      <c r="B28" s="30">
        <v>2048</v>
      </c>
      <c r="C28" s="32">
        <v>80</v>
      </c>
      <c r="D28" s="31">
        <v>0</v>
      </c>
      <c r="E28" s="31">
        <v>27006.945575462913</v>
      </c>
      <c r="F28" s="31">
        <v>15478.382271890323</v>
      </c>
      <c r="G28" s="31">
        <v>0</v>
      </c>
      <c r="H28" s="31">
        <v>21600</v>
      </c>
      <c r="I28" s="31">
        <v>119091.04364913469</v>
      </c>
      <c r="J28" s="31">
        <v>183176.37149648793</v>
      </c>
      <c r="K28" s="31">
        <v>48316.493447533896</v>
      </c>
      <c r="L28" s="48">
        <f>IFERROR(K28/M28,0)</f>
        <v>0.26377033813261375</v>
      </c>
      <c r="M28" s="31">
        <v>183176.37149648793</v>
      </c>
    </row>
    <row r="29" ht="19" customHeight="1" spans="2:13" x14ac:dyDescent="0.25">
      <c r="B29" s="27">
        <v>2049</v>
      </c>
      <c r="C29" s="29">
        <v>81</v>
      </c>
      <c r="D29" s="33">
        <v>0</v>
      </c>
      <c r="E29" s="33">
        <v>27368.2310411373</v>
      </c>
      <c r="F29" s="33">
        <v>15803.428299600018</v>
      </c>
      <c r="G29" s="33">
        <v>0</v>
      </c>
      <c r="H29" s="33">
        <v>21600</v>
      </c>
      <c r="I29" s="33">
        <v>85979.47095294943</v>
      </c>
      <c r="J29" s="33">
        <v>150751.13029368676</v>
      </c>
      <c r="K29" s="33">
        <v>35376.23317784317</v>
      </c>
      <c r="L29" s="34">
        <f>IFERROR(K29/M29,0)</f>
        <v>0.23466645396903318</v>
      </c>
      <c r="M29" s="33">
        <v>150751.13029368676</v>
      </c>
    </row>
    <row r="30" ht="19" customHeight="1" spans="2:13" x14ac:dyDescent="0.25">
      <c r="B30" s="30">
        <v>2050</v>
      </c>
      <c r="C30" s="32">
        <v>82</v>
      </c>
      <c r="D30" s="31">
        <v>0</v>
      </c>
      <c r="E30" s="31">
        <v>27505.072196342986</v>
      </c>
      <c r="F30" s="31">
        <v>16135.300293891618</v>
      </c>
      <c r="G30" s="31">
        <v>0</v>
      </c>
      <c r="H30" s="31">
        <v>21600</v>
      </c>
      <c r="I30" s="31">
        <v>79371.29259046946</v>
      </c>
      <c r="J30" s="31">
        <v>144611.66508070406</v>
      </c>
      <c r="K30" s="31">
        <v>32595.14703214523</v>
      </c>
      <c r="L30" s="48">
        <f>IFERROR(K30/M30,0)</f>
        <v>0.2253977714311962</v>
      </c>
      <c r="M30" s="31">
        <v>144611.66508070406</v>
      </c>
    </row>
    <row r="31" ht="19" customHeight="1" spans="2:13" x14ac:dyDescent="0.25">
      <c r="B31" s="27">
        <v>2051</v>
      </c>
      <c r="C31" s="29">
        <v>83</v>
      </c>
      <c r="D31" s="33">
        <v>0</v>
      </c>
      <c r="E31" s="33">
        <v>28293.198599627965</v>
      </c>
      <c r="F31" s="33">
        <v>16474.14160006334</v>
      </c>
      <c r="G31" s="33">
        <v>0</v>
      </c>
      <c r="H31" s="33">
        <v>21600</v>
      </c>
      <c r="I31" s="33">
        <v>107590.88618350841</v>
      </c>
      <c r="J31" s="33">
        <v>173958.2263831997</v>
      </c>
      <c r="K31" s="33">
        <v>43227.42190663864</v>
      </c>
      <c r="L31" s="34">
        <f>IFERROR(K31/M31,0)</f>
        <v>0.24849311702808555</v>
      </c>
      <c r="M31" s="33">
        <v>173958.2263831997</v>
      </c>
    </row>
    <row r="32" ht="19" customHeight="1" spans="2:13" x14ac:dyDescent="0.25">
      <c r="B32" s="30">
        <v>2052</v>
      </c>
      <c r="C32" s="32">
        <v>84</v>
      </c>
      <c r="D32" s="31">
        <v>0</v>
      </c>
      <c r="E32" s="31">
        <v>29293.747514369243</v>
      </c>
      <c r="F32" s="31">
        <v>16820.09857366467</v>
      </c>
      <c r="G32" s="31">
        <v>0</v>
      </c>
      <c r="H32" s="31">
        <v>21600</v>
      </c>
      <c r="I32" s="31">
        <v>123160.96134136501</v>
      </c>
      <c r="J32" s="31">
        <v>190874.80742939893</v>
      </c>
      <c r="K32" s="31">
        <v>49141.35929028991</v>
      </c>
      <c r="L32" s="48">
        <f>IFERROR(K32/M32,0)</f>
        <v>0.25745335359914584</v>
      </c>
      <c r="M32" s="31">
        <v>190874.80742939893</v>
      </c>
    </row>
    <row r="33" ht="19" customHeight="1" spans="2:13" x14ac:dyDescent="0.25">
      <c r="B33" s="27">
        <v>2053</v>
      </c>
      <c r="C33" s="29">
        <v>85</v>
      </c>
      <c r="D33" s="33">
        <v>0</v>
      </c>
      <c r="E33" s="33">
        <v>29828.49783064713</v>
      </c>
      <c r="F33" s="33">
        <v>17173.320643711624</v>
      </c>
      <c r="G33" s="33">
        <v>0</v>
      </c>
      <c r="H33" s="33">
        <v>21600</v>
      </c>
      <c r="I33" s="33">
        <v>70303.01556774633</v>
      </c>
      <c r="J33" s="33">
        <v>138904.8340421051</v>
      </c>
      <c r="K33" s="33">
        <v>29007.6194327508</v>
      </c>
      <c r="L33" s="34">
        <f>IFERROR(K33/M33,0)</f>
        <v>0.20883088506450362</v>
      </c>
      <c r="M33" s="33">
        <v>138904.8340421051</v>
      </c>
    </row>
    <row r="34" ht="19" customHeight="1" spans="2:13" x14ac:dyDescent="0.25">
      <c r="B34" s="30">
        <v>2054</v>
      </c>
      <c r="C34" s="32">
        <v>86</v>
      </c>
      <c r="D34" s="31">
        <v>0</v>
      </c>
      <c r="E34" s="31">
        <v>30733.525393996384</v>
      </c>
      <c r="F34" s="31">
        <v>17533.960377229567</v>
      </c>
      <c r="G34" s="31">
        <v>0</v>
      </c>
      <c r="H34" s="31">
        <v>21600</v>
      </c>
      <c r="I34" s="31">
        <v>91498.67110596552</v>
      </c>
      <c r="J34" s="31">
        <v>161366.15687719148</v>
      </c>
      <c r="K34" s="31">
        <v>37018.40936801234</v>
      </c>
      <c r="L34" s="48">
        <f>IFERROR(K34/M34,0)</f>
        <v>0.22940627752686324</v>
      </c>
      <c r="M34" s="31">
        <v>161366.15687719148</v>
      </c>
    </row>
    <row r="35" ht="19" customHeight="1" spans="2:13" x14ac:dyDescent="0.25">
      <c r="B35" s="27">
        <v>2055</v>
      </c>
      <c r="C35" s="29">
        <v>87</v>
      </c>
      <c r="D35" s="33">
        <v>0</v>
      </c>
      <c r="E35" s="33">
        <v>31375.98243714759</v>
      </c>
      <c r="F35" s="33">
        <v>17902.17354515139</v>
      </c>
      <c r="G35" s="33">
        <v>0</v>
      </c>
      <c r="H35" s="33">
        <v>21600</v>
      </c>
      <c r="I35" s="33">
        <v>83760.17006573532</v>
      </c>
      <c r="J35" s="33">
        <v>154638.3260480343</v>
      </c>
      <c r="K35" s="33">
        <v>33964.5686287403</v>
      </c>
      <c r="L35" s="34">
        <f>IFERROR(K35/M35,0)</f>
        <v>0.21963874995769228</v>
      </c>
      <c r="M35" s="33">
        <v>154638.3260480343</v>
      </c>
    </row>
    <row r="36" ht="19" customHeight="1" spans="2:13" x14ac:dyDescent="0.25">
      <c r="B36" s="30">
        <v>2056</v>
      </c>
      <c r="C36" s="32">
        <v>88</v>
      </c>
      <c r="D36" s="31">
        <v>0</v>
      </c>
      <c r="E36" s="31">
        <v>31974.663776645582</v>
      </c>
      <c r="F36" s="31">
        <v>18278.119189599565</v>
      </c>
      <c r="G36" s="31">
        <v>0</v>
      </c>
      <c r="H36" s="31">
        <v>21600</v>
      </c>
      <c r="I36" s="31">
        <v>86386.40258255397</v>
      </c>
      <c r="J36" s="31">
        <v>158239.1855487991</v>
      </c>
      <c r="K36" s="31">
        <v>34811.68138186782</v>
      </c>
      <c r="L36" s="48">
        <f>IFERROR(K36/M36,0)</f>
        <v>0.21999406317174391</v>
      </c>
      <c r="M36" s="31">
        <v>158239.1855487991</v>
      </c>
    </row>
    <row r="37" ht="19" customHeight="1" spans="2:13" x14ac:dyDescent="0.25">
      <c r="B37" s="27">
        <v>2057</v>
      </c>
      <c r="C37" s="29">
        <v>89</v>
      </c>
      <c r="D37" s="33">
        <v>0</v>
      </c>
      <c r="E37" s="33">
        <v>32554.462333207124</v>
      </c>
      <c r="F37" s="33">
        <v>18661.959692581153</v>
      </c>
      <c r="G37" s="33">
        <v>0</v>
      </c>
      <c r="H37" s="33">
        <v>21600</v>
      </c>
      <c r="I37" s="33">
        <v>90054.28199639764</v>
      </c>
      <c r="J37" s="33">
        <v>162870.70402218594</v>
      </c>
      <c r="K37" s="33">
        <v>36038.26705080047</v>
      </c>
      <c r="L37" s="34">
        <f>IFERROR(K37/M37,0)</f>
        <v>0.2212691795443544</v>
      </c>
      <c r="M37" s="33">
        <v>162870.70402218594</v>
      </c>
    </row>
    <row r="38" ht="19" customHeight="1" spans="2:13" x14ac:dyDescent="0.25">
      <c r="B38" s="30">
        <v>2058</v>
      </c>
      <c r="C38" s="32">
        <v>90</v>
      </c>
      <c r="D38" s="31">
        <v>0</v>
      </c>
      <c r="E38" s="31">
        <v>32717.234644873155</v>
      </c>
      <c r="F38" s="31">
        <v>19053.860846125357</v>
      </c>
      <c r="G38" s="31">
        <v>0</v>
      </c>
      <c r="H38" s="31">
        <v>21600</v>
      </c>
      <c r="I38" s="31">
        <v>78038.03377596843</v>
      </c>
      <c r="J38" s="31">
        <v>151409.12926696695</v>
      </c>
      <c r="K38" s="31">
        <v>31159.161632593212</v>
      </c>
      <c r="L38" s="48">
        <f>IFERROR(K38/M38,0)</f>
        <v>0.20579447080534286</v>
      </c>
      <c r="M38" s="31">
        <v>151409.12926696695</v>
      </c>
    </row>
    <row r="39" ht="19" customHeight="1" spans="2:13" x14ac:dyDescent="0.25">
      <c r="B39" s="27">
        <v>2059</v>
      </c>
      <c r="C39" s="29">
        <v>91</v>
      </c>
      <c r="D39" s="33">
        <v>0</v>
      </c>
      <c r="E39" s="33">
        <v>33295.61491316947</v>
      </c>
      <c r="F39" s="33">
        <v>19453.991923893984</v>
      </c>
      <c r="G39" s="33">
        <v>0</v>
      </c>
      <c r="H39" s="33">
        <v>21600</v>
      </c>
      <c r="I39" s="33">
        <v>98335.63376708375</v>
      </c>
      <c r="J39" s="33">
        <v>172685.2406041472</v>
      </c>
      <c r="K39" s="33">
        <v>38666.83697314265</v>
      </c>
      <c r="L39" s="34">
        <f>IFERROR(K39/M39,0)</f>
        <v>0.22391512348052997</v>
      </c>
      <c r="M39" s="33">
        <v>172685.2406041472</v>
      </c>
    </row>
    <row r="40" ht="19" customHeight="1" spans="2:13" x14ac:dyDescent="0.25">
      <c r="B40" s="30">
        <v>2060</v>
      </c>
      <c r="C40" s="32">
        <v>92</v>
      </c>
      <c r="D40" s="31">
        <v>0</v>
      </c>
      <c r="E40" s="31">
        <v>33462.09298773531</v>
      </c>
      <c r="F40" s="31">
        <v>19862.52575429576</v>
      </c>
      <c r="G40" s="31">
        <v>0</v>
      </c>
      <c r="H40" s="31">
        <v>21600</v>
      </c>
      <c r="I40" s="31">
        <v>85154.79666642431</v>
      </c>
      <c r="J40" s="31">
        <v>160079.4154084554</v>
      </c>
      <c r="K40" s="31">
        <v>33331.53831286507</v>
      </c>
      <c r="L40" s="48">
        <f>IFERROR(K40/M40,0)</f>
        <v>0.20821876584079843</v>
      </c>
      <c r="M40" s="31">
        <v>160079.4154084554</v>
      </c>
    </row>
    <row r="43" spans="2:14" x14ac:dyDescent="0.25">
      <c r="B43" s="35" t="s">
        <v>53</v>
      </c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</row>
  </sheetData>
  <autoFilter ref="B5:M5"/>
  <mergeCells count="3">
    <mergeCell ref="B2:N2"/>
    <mergeCell ref="B3:N3"/>
    <mergeCell ref="B43:N43"/>
  </mergeCells>
  <pageSetup paperSize="9" orientation="landscape" fitToWidth="1" fitToHeight="0"/>
  <headerFooter>
    <oddFooter>&amp;L&amp;8BuildFi Technologies inc.&amp;C&amp;8Page &amp;P /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N43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0" customWidth="1"/>
    <col min="3" max="3" width="8" customWidth="1"/>
    <col min="4" max="14" width="14" customWidth="1"/>
  </cols>
  <sheetData>
    <row r="1" ht="8" customHeight="1" x14ac:dyDescent="0.25"/>
    <row r="2" ht="28" customHeight="1" spans="2:14" x14ac:dyDescent="0.25">
      <c r="B2" s="36" t="s">
        <v>120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ht="16" customHeight="1" spans="2:14" x14ac:dyDescent="0.25">
      <c r="B3" s="37" t="s">
        <v>121</v>
      </c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</row>
    <row r="5" ht="30" customHeight="1" spans="2:11" x14ac:dyDescent="0.25">
      <c r="B5" s="25" t="s">
        <v>101</v>
      </c>
      <c r="C5" s="26" t="s">
        <v>57</v>
      </c>
      <c r="D5" s="26" t="s">
        <v>122</v>
      </c>
      <c r="E5" s="26" t="s">
        <v>123</v>
      </c>
      <c r="F5" s="26" t="s">
        <v>124</v>
      </c>
      <c r="G5" s="26" t="s">
        <v>125</v>
      </c>
      <c r="H5" s="26" t="s">
        <v>126</v>
      </c>
      <c r="I5" s="26" t="s">
        <v>127</v>
      </c>
      <c r="J5" s="26" t="s">
        <v>128</v>
      </c>
      <c r="K5" s="26" t="s">
        <v>129</v>
      </c>
    </row>
    <row r="6" ht="19" customHeight="1" spans="2:11" x14ac:dyDescent="0.25">
      <c r="B6" s="30">
        <v>2026</v>
      </c>
      <c r="C6" s="32">
        <v>58</v>
      </c>
      <c r="D6" s="31">
        <v>2107857.852982513</v>
      </c>
      <c r="E6" s="31">
        <v>1667724.506253163</v>
      </c>
      <c r="F6" s="31">
        <v>1941253.989847518</v>
      </c>
      <c r="G6" s="31">
        <v>2107857.852982513</v>
      </c>
      <c r="H6" s="31">
        <v>2262617.475013827</v>
      </c>
      <c r="I6" s="31">
        <v>2533568.7849596436</v>
      </c>
      <c r="J6" s="49">
        <f>G6-D6</f>
        <v>0</v>
      </c>
      <c r="K6" s="31">
        <f>I6-E6</f>
        <v>865844.2787064805</v>
      </c>
    </row>
    <row r="7" ht="19" customHeight="1" spans="2:11" x14ac:dyDescent="0.25">
      <c r="B7" s="27">
        <v>2027</v>
      </c>
      <c r="C7" s="29">
        <v>59</v>
      </c>
      <c r="D7" s="33">
        <v>2196900.275661564</v>
      </c>
      <c r="E7" s="33">
        <v>1558945.617607248</v>
      </c>
      <c r="F7" s="33">
        <v>1944686.2273506229</v>
      </c>
      <c r="G7" s="33">
        <v>2196900.275661564</v>
      </c>
      <c r="H7" s="33">
        <v>2446510.423889797</v>
      </c>
      <c r="I7" s="33">
        <v>2920047.7975955247</v>
      </c>
      <c r="J7" s="50">
        <f>G7-D7</f>
        <v>0</v>
      </c>
      <c r="K7" s="33">
        <f>I7-E7</f>
        <v>1361102.1799882767</v>
      </c>
    </row>
    <row r="8" ht="19" customHeight="1" spans="2:11" x14ac:dyDescent="0.25">
      <c r="B8" s="30">
        <v>2028</v>
      </c>
      <c r="C8" s="32">
        <v>60</v>
      </c>
      <c r="D8" s="31">
        <v>2285396.9998784754</v>
      </c>
      <c r="E8" s="31">
        <v>1528459.4024193254</v>
      </c>
      <c r="F8" s="31">
        <v>1981386.368536618</v>
      </c>
      <c r="G8" s="31">
        <v>2285396.9998784754</v>
      </c>
      <c r="H8" s="31">
        <v>2613230.203766913</v>
      </c>
      <c r="I8" s="31">
        <v>3230051.131867993</v>
      </c>
      <c r="J8" s="49">
        <f>G8-D8</f>
        <v>0</v>
      </c>
      <c r="K8" s="31">
        <f>I8-E8</f>
        <v>1701591.7294486677</v>
      </c>
    </row>
    <row r="9" ht="19" customHeight="1" spans="2:11" x14ac:dyDescent="0.25">
      <c r="B9" s="27">
        <v>2029</v>
      </c>
      <c r="C9" s="29">
        <v>61</v>
      </c>
      <c r="D9" s="33">
        <v>2366396.7081448575</v>
      </c>
      <c r="E9" s="33">
        <v>1502786.201686557</v>
      </c>
      <c r="F9" s="33">
        <v>2023405.6783982092</v>
      </c>
      <c r="G9" s="33">
        <v>2366396.7081448575</v>
      </c>
      <c r="H9" s="33">
        <v>2797008.879492358</v>
      </c>
      <c r="I9" s="33">
        <v>3518610.697528793</v>
      </c>
      <c r="J9" s="50">
        <f>G9-D9</f>
        <v>0</v>
      </c>
      <c r="K9" s="33">
        <f>I9-E9</f>
        <v>2015824.495842236</v>
      </c>
    </row>
    <row r="10" ht="19" customHeight="1" spans="2:11" x14ac:dyDescent="0.25">
      <c r="B10" s="30">
        <v>2030</v>
      </c>
      <c r="C10" s="32">
        <v>62</v>
      </c>
      <c r="D10" s="31">
        <v>2465784.365813528</v>
      </c>
      <c r="E10" s="31">
        <v>1493229.472457064</v>
      </c>
      <c r="F10" s="31">
        <v>2059247.832116637</v>
      </c>
      <c r="G10" s="31">
        <v>2465784.365813528</v>
      </c>
      <c r="H10" s="31">
        <v>2943913.2538120723</v>
      </c>
      <c r="I10" s="31">
        <v>3793973.7436001375</v>
      </c>
      <c r="J10" s="49">
        <f>G10-D10</f>
        <v>0</v>
      </c>
      <c r="K10" s="31">
        <f>I10-E10</f>
        <v>2300744.271143073</v>
      </c>
    </row>
    <row r="11" ht="19" customHeight="1" spans="2:11" x14ac:dyDescent="0.25">
      <c r="B11" s="27">
        <v>2031</v>
      </c>
      <c r="C11" s="29">
        <v>63</v>
      </c>
      <c r="D11" s="33">
        <v>2438660.935335748</v>
      </c>
      <c r="E11" s="33">
        <v>1377590.6733771279</v>
      </c>
      <c r="F11" s="33">
        <v>1981416.0532150548</v>
      </c>
      <c r="G11" s="33">
        <v>2438660.935335748</v>
      </c>
      <c r="H11" s="33">
        <v>2985617.9686991097</v>
      </c>
      <c r="I11" s="33">
        <v>4006641.6496415944</v>
      </c>
      <c r="J11" s="50">
        <f>G11-D11</f>
        <v>0</v>
      </c>
      <c r="K11" s="33">
        <f>I11-E11</f>
        <v>2629050.9762644665</v>
      </c>
    </row>
    <row r="12" ht="19" customHeight="1" spans="2:11" x14ac:dyDescent="0.25">
      <c r="B12" s="30">
        <v>2032</v>
      </c>
      <c r="C12" s="32">
        <v>64</v>
      </c>
      <c r="D12" s="31">
        <v>2415446.084784949</v>
      </c>
      <c r="E12" s="31">
        <v>1268570.0167635693</v>
      </c>
      <c r="F12" s="31">
        <v>1901213.6739955172</v>
      </c>
      <c r="G12" s="31">
        <v>2415446.084784949</v>
      </c>
      <c r="H12" s="31">
        <v>3021518.66069162</v>
      </c>
      <c r="I12" s="31">
        <v>4153709.2856218345</v>
      </c>
      <c r="J12" s="49">
        <f>G12-D12</f>
        <v>0</v>
      </c>
      <c r="K12" s="31">
        <f>I12-E12</f>
        <v>2885139.268858265</v>
      </c>
    </row>
    <row r="13" ht="19" customHeight="1" spans="2:11" x14ac:dyDescent="0.25">
      <c r="B13" s="27">
        <v>2033</v>
      </c>
      <c r="C13" s="29">
        <v>65</v>
      </c>
      <c r="D13" s="33">
        <v>2420882.826254892</v>
      </c>
      <c r="E13" s="33">
        <v>1184368.4356955125</v>
      </c>
      <c r="F13" s="33">
        <v>1865609.28056999</v>
      </c>
      <c r="G13" s="33">
        <v>2420882.826254892</v>
      </c>
      <c r="H13" s="33">
        <v>3086209.620949741</v>
      </c>
      <c r="I13" s="33">
        <v>4444091.256776543</v>
      </c>
      <c r="J13" s="50">
        <f>G13-D13</f>
        <v>0</v>
      </c>
      <c r="K13" s="33">
        <f>I13-E13</f>
        <v>3259722.821081031</v>
      </c>
    </row>
    <row r="14" ht="19" customHeight="1" spans="2:11" x14ac:dyDescent="0.25">
      <c r="B14" s="30">
        <v>2034</v>
      </c>
      <c r="C14" s="32">
        <v>66</v>
      </c>
      <c r="D14" s="31">
        <v>2412519.2759917392</v>
      </c>
      <c r="E14" s="31">
        <v>1111231.201035433</v>
      </c>
      <c r="F14" s="31">
        <v>1803596.8495424488</v>
      </c>
      <c r="G14" s="31">
        <v>2412519.2759917392</v>
      </c>
      <c r="H14" s="31">
        <v>3180872.489952409</v>
      </c>
      <c r="I14" s="31">
        <v>4580854.1429768875</v>
      </c>
      <c r="J14" s="49">
        <f>G14-D14</f>
        <v>0</v>
      </c>
      <c r="K14" s="31">
        <f>I14-E14</f>
        <v>3469622.9419414545</v>
      </c>
    </row>
    <row r="15" ht="19" customHeight="1" spans="2:11" x14ac:dyDescent="0.25">
      <c r="B15" s="27">
        <v>2035</v>
      </c>
      <c r="C15" s="29">
        <v>67</v>
      </c>
      <c r="D15" s="33">
        <v>2430523.982291489</v>
      </c>
      <c r="E15" s="33">
        <v>1018175.640250111</v>
      </c>
      <c r="F15" s="33">
        <v>1747257.607361539</v>
      </c>
      <c r="G15" s="33">
        <v>2430523.982291489</v>
      </c>
      <c r="H15" s="33">
        <v>3256184.0144426674</v>
      </c>
      <c r="I15" s="33">
        <v>4789285.025116869</v>
      </c>
      <c r="J15" s="50">
        <f>G15-D15</f>
        <v>0</v>
      </c>
      <c r="K15" s="33">
        <f>I15-E15</f>
        <v>3771109.3848667582</v>
      </c>
    </row>
    <row r="16" ht="19" customHeight="1" spans="2:11" x14ac:dyDescent="0.25">
      <c r="B16" s="30">
        <v>2036</v>
      </c>
      <c r="C16" s="32">
        <v>68</v>
      </c>
      <c r="D16" s="31">
        <v>2426444.4112463943</v>
      </c>
      <c r="E16" s="31">
        <v>923170.6270443648</v>
      </c>
      <c r="F16" s="31">
        <v>1682369.4694470416</v>
      </c>
      <c r="G16" s="31">
        <v>2426444.4112463943</v>
      </c>
      <c r="H16" s="31">
        <v>3391554.9416473852</v>
      </c>
      <c r="I16" s="31">
        <v>5090213.587188927</v>
      </c>
      <c r="J16" s="49">
        <f>G16-D16</f>
        <v>0</v>
      </c>
      <c r="K16" s="31">
        <f>I16-E16</f>
        <v>4167042.9601445626</v>
      </c>
    </row>
    <row r="17" ht="19" customHeight="1" spans="2:11" x14ac:dyDescent="0.25">
      <c r="B17" s="27">
        <v>2037</v>
      </c>
      <c r="C17" s="29">
        <v>69</v>
      </c>
      <c r="D17" s="33">
        <v>2430776.484900286</v>
      </c>
      <c r="E17" s="33">
        <v>829869.4691618155</v>
      </c>
      <c r="F17" s="33">
        <v>1655857.6681318267</v>
      </c>
      <c r="G17" s="33">
        <v>2430776.484900286</v>
      </c>
      <c r="H17" s="33">
        <v>3453697.9432167434</v>
      </c>
      <c r="I17" s="33">
        <v>5296743.793858474</v>
      </c>
      <c r="J17" s="50">
        <f>G17-D17</f>
        <v>0</v>
      </c>
      <c r="K17" s="33">
        <f>I17-E17</f>
        <v>4466874.324696658</v>
      </c>
    </row>
    <row r="18" ht="19" customHeight="1" spans="2:11" x14ac:dyDescent="0.25">
      <c r="B18" s="30">
        <v>2038</v>
      </c>
      <c r="C18" s="32">
        <v>70</v>
      </c>
      <c r="D18" s="31">
        <v>2418115.1802747725</v>
      </c>
      <c r="E18" s="31">
        <v>726094.252363012</v>
      </c>
      <c r="F18" s="31">
        <v>1586364.8755365643</v>
      </c>
      <c r="G18" s="31">
        <v>2418115.1802747725</v>
      </c>
      <c r="H18" s="31">
        <v>3535056.8731295206</v>
      </c>
      <c r="I18" s="31">
        <v>5561936.928906129</v>
      </c>
      <c r="J18" s="49">
        <f>G18-D18</f>
        <v>0</v>
      </c>
      <c r="K18" s="31">
        <f>I18-E18</f>
        <v>4835842.676543117</v>
      </c>
    </row>
    <row r="19" ht="19" customHeight="1" spans="2:11" x14ac:dyDescent="0.25">
      <c r="B19" s="27">
        <v>2039</v>
      </c>
      <c r="C19" s="29">
        <v>71</v>
      </c>
      <c r="D19" s="33">
        <v>2460764.817653275</v>
      </c>
      <c r="E19" s="33">
        <v>666581.1965184743</v>
      </c>
      <c r="F19" s="33">
        <v>1570235.5669361968</v>
      </c>
      <c r="G19" s="33">
        <v>2460764.817653275</v>
      </c>
      <c r="H19" s="33">
        <v>3627010.393831878</v>
      </c>
      <c r="I19" s="33">
        <v>5945328.051821309</v>
      </c>
      <c r="J19" s="50">
        <f>G19-D19</f>
        <v>0</v>
      </c>
      <c r="K19" s="33">
        <f>I19-E19</f>
        <v>5278746.855302835</v>
      </c>
    </row>
    <row r="20" ht="19" customHeight="1" spans="2:11" x14ac:dyDescent="0.25">
      <c r="B20" s="30">
        <v>2040</v>
      </c>
      <c r="C20" s="32">
        <v>72</v>
      </c>
      <c r="D20" s="31">
        <v>2456333.4598054946</v>
      </c>
      <c r="E20" s="31">
        <v>591719.0423318219</v>
      </c>
      <c r="F20" s="31">
        <v>1559516.8575709146</v>
      </c>
      <c r="G20" s="31">
        <v>2456333.4598054946</v>
      </c>
      <c r="H20" s="31">
        <v>3691255.679059756</v>
      </c>
      <c r="I20" s="31">
        <v>6016430.291098667</v>
      </c>
      <c r="J20" s="49">
        <f>G20-D20</f>
        <v>0</v>
      </c>
      <c r="K20" s="31">
        <f>I20-E20</f>
        <v>5424711.248766845</v>
      </c>
    </row>
    <row r="21" ht="19" customHeight="1" spans="2:11" x14ac:dyDescent="0.25">
      <c r="B21" s="27">
        <v>2041</v>
      </c>
      <c r="C21" s="29">
        <v>73</v>
      </c>
      <c r="D21" s="33">
        <v>2506986.21977101</v>
      </c>
      <c r="E21" s="33">
        <v>557658.1885408543</v>
      </c>
      <c r="F21" s="33">
        <v>1516224.9977408457</v>
      </c>
      <c r="G21" s="33">
        <v>2506986.21977101</v>
      </c>
      <c r="H21" s="33">
        <v>3738042.4851513384</v>
      </c>
      <c r="I21" s="33">
        <v>6368004.457219662</v>
      </c>
      <c r="J21" s="50">
        <f>G21-D21</f>
        <v>0</v>
      </c>
      <c r="K21" s="33">
        <f>I21-E21</f>
        <v>5810346.268678808</v>
      </c>
    </row>
    <row r="22" ht="19" customHeight="1" spans="2:11" x14ac:dyDescent="0.25">
      <c r="B22" s="30">
        <v>2042</v>
      </c>
      <c r="C22" s="32">
        <v>74</v>
      </c>
      <c r="D22" s="31">
        <v>2503165.7650824217</v>
      </c>
      <c r="E22" s="31">
        <v>480764.2297087605</v>
      </c>
      <c r="F22" s="31">
        <v>1489811.9491378707</v>
      </c>
      <c r="G22" s="31">
        <v>2503165.7650824217</v>
      </c>
      <c r="H22" s="31">
        <v>3870004.7711315765</v>
      </c>
      <c r="I22" s="31">
        <v>6596355.932565913</v>
      </c>
      <c r="J22" s="49">
        <f>G22-D22</f>
        <v>0</v>
      </c>
      <c r="K22" s="31">
        <f>I22-E22</f>
        <v>6115591.702857152</v>
      </c>
    </row>
    <row r="23" ht="19" customHeight="1" spans="2:11" x14ac:dyDescent="0.25">
      <c r="B23" s="27">
        <v>2043</v>
      </c>
      <c r="C23" s="29">
        <v>75</v>
      </c>
      <c r="D23" s="33">
        <v>2538182.646680298</v>
      </c>
      <c r="E23" s="33">
        <v>440920.15686265344</v>
      </c>
      <c r="F23" s="33">
        <v>1480058.7997833586</v>
      </c>
      <c r="G23" s="33">
        <v>2538182.646680298</v>
      </c>
      <c r="H23" s="33">
        <v>3900681.36446952</v>
      </c>
      <c r="I23" s="33">
        <v>6710554.389417687</v>
      </c>
      <c r="J23" s="50">
        <f>G23-D23</f>
        <v>0</v>
      </c>
      <c r="K23" s="33">
        <f>I23-E23</f>
        <v>6269634.232555034</v>
      </c>
    </row>
    <row r="24" ht="19" customHeight="1" spans="2:11" x14ac:dyDescent="0.25">
      <c r="B24" s="30">
        <v>2044</v>
      </c>
      <c r="C24" s="32">
        <v>76</v>
      </c>
      <c r="D24" s="31">
        <v>2564225.5552678276</v>
      </c>
      <c r="E24" s="31">
        <v>410115.36579287064</v>
      </c>
      <c r="F24" s="31">
        <v>1479686.9475945926</v>
      </c>
      <c r="G24" s="31">
        <v>2564225.5552678276</v>
      </c>
      <c r="H24" s="31">
        <v>4018612.11317192</v>
      </c>
      <c r="I24" s="31">
        <v>6938308.560425448</v>
      </c>
      <c r="J24" s="49">
        <f>G24-D24</f>
        <v>0</v>
      </c>
      <c r="K24" s="31">
        <f>I24-E24</f>
        <v>6528193.194632578</v>
      </c>
    </row>
    <row r="25" ht="19" customHeight="1" spans="2:11" x14ac:dyDescent="0.25">
      <c r="B25" s="27">
        <v>2045</v>
      </c>
      <c r="C25" s="29">
        <v>77</v>
      </c>
      <c r="D25" s="33">
        <v>2550904.496559958</v>
      </c>
      <c r="E25" s="33">
        <v>383557.4391876642</v>
      </c>
      <c r="F25" s="33">
        <v>1419312.6455178657</v>
      </c>
      <c r="G25" s="33">
        <v>2550904.496559958</v>
      </c>
      <c r="H25" s="33">
        <v>4035842.991268345</v>
      </c>
      <c r="I25" s="33">
        <v>7157099.306068974</v>
      </c>
      <c r="J25" s="50">
        <f>G25-D25</f>
        <v>0</v>
      </c>
      <c r="K25" s="33">
        <f>I25-E25</f>
        <v>6773541.866881309</v>
      </c>
    </row>
    <row r="26" ht="19" customHeight="1" spans="2:11" x14ac:dyDescent="0.25">
      <c r="B26" s="30">
        <v>2046</v>
      </c>
      <c r="C26" s="32">
        <v>78</v>
      </c>
      <c r="D26" s="31">
        <v>2535187.4852069253</v>
      </c>
      <c r="E26" s="31">
        <v>315825.5249447847</v>
      </c>
      <c r="F26" s="31">
        <v>1398124.6997187505</v>
      </c>
      <c r="G26" s="31">
        <v>2535187.4852069253</v>
      </c>
      <c r="H26" s="31">
        <v>4070445.5046354607</v>
      </c>
      <c r="I26" s="31">
        <v>7217294.4891252965</v>
      </c>
      <c r="J26" s="49">
        <f>G26-D26</f>
        <v>0</v>
      </c>
      <c r="K26" s="31">
        <f>I26-E26</f>
        <v>6901468.964180511</v>
      </c>
    </row>
    <row r="27" ht="19" customHeight="1" spans="2:11" x14ac:dyDescent="0.25">
      <c r="B27" s="27">
        <v>2047</v>
      </c>
      <c r="C27" s="29">
        <v>79</v>
      </c>
      <c r="D27" s="33">
        <v>2544869.5359141286</v>
      </c>
      <c r="E27" s="33">
        <v>263192.3373285007</v>
      </c>
      <c r="F27" s="33">
        <v>1363332.4750066423</v>
      </c>
      <c r="G27" s="33">
        <v>2544869.5359141286</v>
      </c>
      <c r="H27" s="33">
        <v>4077659.0418558293</v>
      </c>
      <c r="I27" s="33">
        <v>7543689.377031922</v>
      </c>
      <c r="J27" s="50">
        <f>G27-D27</f>
        <v>0</v>
      </c>
      <c r="K27" s="33">
        <f>I27-E27</f>
        <v>7280497.039703421</v>
      </c>
    </row>
    <row r="28" ht="19" customHeight="1" spans="2:11" x14ac:dyDescent="0.25">
      <c r="B28" s="30">
        <v>2048</v>
      </c>
      <c r="C28" s="32">
        <v>80</v>
      </c>
      <c r="D28" s="31">
        <v>2512548.556736187</v>
      </c>
      <c r="E28" s="31">
        <v>211589.57488225526</v>
      </c>
      <c r="F28" s="31">
        <v>1346458.5917466993</v>
      </c>
      <c r="G28" s="31">
        <v>2512548.556736187</v>
      </c>
      <c r="H28" s="31">
        <v>4084166.4278058833</v>
      </c>
      <c r="I28" s="31">
        <v>7659551.829752649</v>
      </c>
      <c r="J28" s="49">
        <f>G28-D28</f>
        <v>0</v>
      </c>
      <c r="K28" s="31">
        <f>I28-E28</f>
        <v>7447962.254870394</v>
      </c>
    </row>
    <row r="29" ht="19" customHeight="1" spans="2:11" x14ac:dyDescent="0.25">
      <c r="B29" s="27">
        <v>2049</v>
      </c>
      <c r="C29" s="29">
        <v>81</v>
      </c>
      <c r="D29" s="33">
        <v>2431210.18540813</v>
      </c>
      <c r="E29" s="33">
        <v>150467.56756651943</v>
      </c>
      <c r="F29" s="33">
        <v>1309670.5933200708</v>
      </c>
      <c r="G29" s="33">
        <v>2431210.18540813</v>
      </c>
      <c r="H29" s="33">
        <v>4175182.6665752605</v>
      </c>
      <c r="I29" s="33">
        <v>7730916.058659722</v>
      </c>
      <c r="J29" s="50">
        <f>G29-D29</f>
        <v>0</v>
      </c>
      <c r="K29" s="33">
        <f>I29-E29</f>
        <v>7580448.4910932025</v>
      </c>
    </row>
    <row r="30" ht="19" customHeight="1" spans="2:11" x14ac:dyDescent="0.25">
      <c r="B30" s="30">
        <v>2050</v>
      </c>
      <c r="C30" s="32">
        <v>82</v>
      </c>
      <c r="D30" s="31">
        <v>2461441.4629560034</v>
      </c>
      <c r="E30" s="31">
        <v>91073.57205662908</v>
      </c>
      <c r="F30" s="31">
        <v>1274559.7337628808</v>
      </c>
      <c r="G30" s="31">
        <v>2461441.4629560034</v>
      </c>
      <c r="H30" s="31">
        <v>4147533.4508212493</v>
      </c>
      <c r="I30" s="31">
        <v>7856130.438126166</v>
      </c>
      <c r="J30" s="49">
        <f>G30-D30</f>
        <v>0</v>
      </c>
      <c r="K30" s="31">
        <f>I30-E30</f>
        <v>7765056.866069538</v>
      </c>
    </row>
    <row r="31" ht="19" customHeight="1" spans="2:11" x14ac:dyDescent="0.25">
      <c r="B31" s="27">
        <v>2051</v>
      </c>
      <c r="C31" s="29">
        <v>83</v>
      </c>
      <c r="D31" s="33">
        <v>2420302.2873988966</v>
      </c>
      <c r="E31" s="33">
        <v>27478.18556137281</v>
      </c>
      <c r="F31" s="33">
        <v>1214586.3002787298</v>
      </c>
      <c r="G31" s="33">
        <v>2420302.2873988966</v>
      </c>
      <c r="H31" s="33">
        <v>4134368.9082668936</v>
      </c>
      <c r="I31" s="33">
        <v>7870171.563708584</v>
      </c>
      <c r="J31" s="50">
        <f>G31-D31</f>
        <v>0</v>
      </c>
      <c r="K31" s="33">
        <f>I31-E31</f>
        <v>7842693.378147211</v>
      </c>
    </row>
    <row r="32" ht="19" customHeight="1" spans="2:11" x14ac:dyDescent="0.25">
      <c r="B32" s="30">
        <v>2052</v>
      </c>
      <c r="C32" s="32">
        <v>84</v>
      </c>
      <c r="D32" s="31">
        <v>2384542.087011923</v>
      </c>
      <c r="E32" s="31">
        <v>172.12392499613597</v>
      </c>
      <c r="F32" s="31">
        <v>1182138.3146390703</v>
      </c>
      <c r="G32" s="31">
        <v>2384542.087011923</v>
      </c>
      <c r="H32" s="31">
        <v>4082808.7195769935</v>
      </c>
      <c r="I32" s="31">
        <v>8004099.933277128</v>
      </c>
      <c r="J32" s="49">
        <f>G32-D32</f>
        <v>0</v>
      </c>
      <c r="K32" s="31">
        <f>I32-E32</f>
        <v>8003927.8093521325</v>
      </c>
    </row>
    <row r="33" ht="19" customHeight="1" spans="2:11" x14ac:dyDescent="0.25">
      <c r="B33" s="27">
        <v>2053</v>
      </c>
      <c r="C33" s="29">
        <v>85</v>
      </c>
      <c r="D33" s="33">
        <v>2341209.245120457</v>
      </c>
      <c r="E33" s="33">
        <v>0</v>
      </c>
      <c r="F33" s="33">
        <v>1135578.7708624639</v>
      </c>
      <c r="G33" s="33">
        <v>2341209.245120457</v>
      </c>
      <c r="H33" s="33">
        <v>4066333.303999783</v>
      </c>
      <c r="I33" s="33">
        <v>8132234.140225826</v>
      </c>
      <c r="J33" s="50">
        <f>G33-D33</f>
        <v>0</v>
      </c>
      <c r="K33" s="33">
        <f>I33-E33</f>
        <v>8132234.140225826</v>
      </c>
    </row>
    <row r="34" ht="19" customHeight="1" spans="2:11" x14ac:dyDescent="0.25">
      <c r="B34" s="30">
        <v>2054</v>
      </c>
      <c r="C34" s="32">
        <v>86</v>
      </c>
      <c r="D34" s="31">
        <v>2296428.568847893</v>
      </c>
      <c r="E34" s="31">
        <v>0</v>
      </c>
      <c r="F34" s="31">
        <v>1115244.6598107237</v>
      </c>
      <c r="G34" s="31">
        <v>2296428.568847893</v>
      </c>
      <c r="H34" s="31">
        <v>3986107.994878067</v>
      </c>
      <c r="I34" s="31">
        <v>8219007.8588443</v>
      </c>
      <c r="J34" s="49">
        <f>G34-D34</f>
        <v>0</v>
      </c>
      <c r="K34" s="31">
        <f>I34-E34</f>
        <v>8219007.8588443</v>
      </c>
    </row>
    <row r="35" ht="19" customHeight="1" spans="2:11" x14ac:dyDescent="0.25">
      <c r="B35" s="27">
        <v>2055</v>
      </c>
      <c r="C35" s="29">
        <v>87</v>
      </c>
      <c r="D35" s="33">
        <v>2252771.398198861</v>
      </c>
      <c r="E35" s="33">
        <v>0</v>
      </c>
      <c r="F35" s="33">
        <v>1082761.6073936988</v>
      </c>
      <c r="G35" s="33">
        <v>2252771.398198861</v>
      </c>
      <c r="H35" s="33">
        <v>3957025.6490072226</v>
      </c>
      <c r="I35" s="33">
        <v>8408126.11077842</v>
      </c>
      <c r="J35" s="50">
        <f>G35-D35</f>
        <v>0</v>
      </c>
      <c r="K35" s="33">
        <f>I35-E35</f>
        <v>8408126.11077842</v>
      </c>
    </row>
    <row r="36" ht="19" customHeight="1" spans="2:11" x14ac:dyDescent="0.25">
      <c r="B36" s="30">
        <v>2056</v>
      </c>
      <c r="C36" s="32">
        <v>88</v>
      </c>
      <c r="D36" s="31">
        <v>2216173.7035772814</v>
      </c>
      <c r="E36" s="31">
        <v>0</v>
      </c>
      <c r="F36" s="31">
        <v>1039311.7319270415</v>
      </c>
      <c r="G36" s="31">
        <v>2216173.7035772814</v>
      </c>
      <c r="H36" s="31">
        <v>3926390.7419537255</v>
      </c>
      <c r="I36" s="31">
        <v>8283325.444324406</v>
      </c>
      <c r="J36" s="49">
        <f>G36-D36</f>
        <v>0</v>
      </c>
      <c r="K36" s="31">
        <f>I36-E36</f>
        <v>8283325.444324406</v>
      </c>
    </row>
    <row r="37" ht="19" customHeight="1" spans="2:11" x14ac:dyDescent="0.25">
      <c r="B37" s="27">
        <v>2057</v>
      </c>
      <c r="C37" s="29">
        <v>89</v>
      </c>
      <c r="D37" s="33">
        <v>2189648.9511989327</v>
      </c>
      <c r="E37" s="33">
        <v>0</v>
      </c>
      <c r="F37" s="33">
        <v>1015281.6378197114</v>
      </c>
      <c r="G37" s="33">
        <v>2189648.9511989327</v>
      </c>
      <c r="H37" s="33">
        <v>3934292.9896138534</v>
      </c>
      <c r="I37" s="33">
        <v>8282282.725645478</v>
      </c>
      <c r="J37" s="50">
        <f>G37-D37</f>
        <v>0</v>
      </c>
      <c r="K37" s="33">
        <f>I37-E37</f>
        <v>8282282.725645478</v>
      </c>
    </row>
    <row r="38" ht="19" customHeight="1" spans="2:11" x14ac:dyDescent="0.25">
      <c r="B38" s="30">
        <v>2058</v>
      </c>
      <c r="C38" s="32">
        <v>90</v>
      </c>
      <c r="D38" s="31">
        <v>2167471.865656034</v>
      </c>
      <c r="E38" s="31">
        <v>0</v>
      </c>
      <c r="F38" s="31">
        <v>955872.2853064708</v>
      </c>
      <c r="G38" s="31">
        <v>2167471.865656034</v>
      </c>
      <c r="H38" s="31">
        <v>3954448.4909349396</v>
      </c>
      <c r="I38" s="31">
        <v>8297252.888807257</v>
      </c>
      <c r="J38" s="49">
        <f>G38-D38</f>
        <v>0</v>
      </c>
      <c r="K38" s="31">
        <f>I38-E38</f>
        <v>8297252.888807257</v>
      </c>
    </row>
    <row r="39" ht="19" customHeight="1" spans="2:11" x14ac:dyDescent="0.25">
      <c r="B39" s="27">
        <v>2059</v>
      </c>
      <c r="C39" s="29">
        <v>91</v>
      </c>
      <c r="D39" s="33">
        <v>2125109.449109786</v>
      </c>
      <c r="E39" s="33">
        <v>0</v>
      </c>
      <c r="F39" s="33">
        <v>932541.2920065357</v>
      </c>
      <c r="G39" s="33">
        <v>2125109.449109786</v>
      </c>
      <c r="H39" s="33">
        <v>3857734.5309262923</v>
      </c>
      <c r="I39" s="33">
        <v>8225579.831245559</v>
      </c>
      <c r="J39" s="50">
        <f>G39-D39</f>
        <v>0</v>
      </c>
      <c r="K39" s="33">
        <f>I39-E39</f>
        <v>8225579.831245559</v>
      </c>
    </row>
    <row r="40" ht="19" customHeight="1" spans="2:11" x14ac:dyDescent="0.25">
      <c r="B40" s="30">
        <v>2060</v>
      </c>
      <c r="C40" s="32">
        <v>92</v>
      </c>
      <c r="D40" s="31">
        <v>2076456.4228427317</v>
      </c>
      <c r="E40" s="31">
        <v>0</v>
      </c>
      <c r="F40" s="31">
        <v>867837.4211301334</v>
      </c>
      <c r="G40" s="31">
        <v>2076456.4228427317</v>
      </c>
      <c r="H40" s="31">
        <v>3841357.1831994965</v>
      </c>
      <c r="I40" s="31">
        <v>8318791.185245154</v>
      </c>
      <c r="J40" s="49">
        <f>G40-D40</f>
        <v>0</v>
      </c>
      <c r="K40" s="31">
        <f>I40-E40</f>
        <v>8318791.185245154</v>
      </c>
    </row>
    <row r="43" spans="2:14" x14ac:dyDescent="0.25">
      <c r="B43" s="35" t="s">
        <v>53</v>
      </c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</row>
  </sheetData>
  <autoFilter ref="B5:K5"/>
  <mergeCells count="3">
    <mergeCell ref="B2:N2"/>
    <mergeCell ref="B3:N3"/>
    <mergeCell ref="B43:N43"/>
  </mergeCells>
  <pageSetup paperSize="9" orientation="landscape" fitToWidth="1" fitToHeight="0"/>
  <headerFooter>
    <oddFooter>&amp;L&amp;8BuildFi Technologies inc.&amp;C&amp;8Page &amp;P /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N50"/>
  <sheetViews>
    <sheetView workbookViewId="0">
      <pane ySplit="25" topLeftCell="A26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8" customWidth="1"/>
    <col min="4" max="8" width="14" customWidth="1"/>
    <col min="9" max="9" width="16" customWidth="1"/>
    <col min="10" max="10" width="22" customWidth="1"/>
    <col min="11" max="14" width="14" customWidth="1"/>
  </cols>
  <sheetData>
    <row r="1" ht="8" customHeight="1" x14ac:dyDescent="0.25"/>
    <row r="2" ht="28" customHeight="1" spans="2:14" x14ac:dyDescent="0.25">
      <c r="B2" s="36" t="s">
        <v>130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ht="16" customHeight="1" spans="2:14" x14ac:dyDescent="0.25">
      <c r="B3" s="37" t="s">
        <v>131</v>
      </c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</row>
    <row r="5" ht="24" customHeight="1" spans="2:10" x14ac:dyDescent="0.25">
      <c r="B5" s="51" t="s">
        <v>132</v>
      </c>
      <c r="C5" s="51"/>
      <c r="D5" s="51"/>
      <c r="E5" s="51"/>
      <c r="F5" s="51"/>
      <c r="G5" s="51"/>
      <c r="H5" s="51"/>
      <c r="I5" s="51"/>
      <c r="J5" s="51"/>
    </row>
    <row r="6" ht="16" customHeight="1" spans="2:10" x14ac:dyDescent="0.25">
      <c r="B6" s="23" t="s">
        <v>133</v>
      </c>
      <c r="C6" s="23"/>
      <c r="D6" s="23"/>
      <c r="E6" s="23"/>
      <c r="F6" s="23"/>
      <c r="G6" s="23"/>
      <c r="H6" s="23"/>
      <c r="I6" s="23"/>
      <c r="J6" s="23"/>
    </row>
    <row r="7" ht="30" customHeight="1" spans="2:10" x14ac:dyDescent="0.25">
      <c r="B7" s="25" t="s">
        <v>101</v>
      </c>
      <c r="C7" s="26" t="s">
        <v>57</v>
      </c>
      <c r="D7" s="26" t="s">
        <v>134</v>
      </c>
      <c r="E7" s="26" t="s">
        <v>135</v>
      </c>
      <c r="F7" s="26" t="s">
        <v>136</v>
      </c>
      <c r="G7" s="26" t="s">
        <v>81</v>
      </c>
      <c r="H7" s="26" t="s">
        <v>82</v>
      </c>
      <c r="I7" s="26" t="s">
        <v>137</v>
      </c>
      <c r="J7" s="26" t="s">
        <v>45</v>
      </c>
    </row>
    <row r="8" ht="19" customHeight="1" spans="2:10" x14ac:dyDescent="0.25">
      <c r="B8" s="30">
        <v>2031</v>
      </c>
      <c r="C8" s="32">
        <v>63</v>
      </c>
      <c r="D8" s="52">
        <v>0</v>
      </c>
      <c r="E8" s="52">
        <v>17519</v>
      </c>
      <c r="F8" s="52">
        <v>17519</v>
      </c>
      <c r="G8" s="52">
        <v>43876</v>
      </c>
      <c r="H8" s="52">
        <v>0</v>
      </c>
      <c r="I8" s="52">
        <v>78914</v>
      </c>
      <c r="J8" s="32" t="s">
        <v>138</v>
      </c>
    </row>
    <row r="9" ht="19" customHeight="1" spans="2:10" x14ac:dyDescent="0.25">
      <c r="B9" s="27">
        <v>2032</v>
      </c>
      <c r="C9" s="29">
        <v>64</v>
      </c>
      <c r="D9" s="53">
        <v>0</v>
      </c>
      <c r="E9" s="53">
        <v>0</v>
      </c>
      <c r="F9" s="53">
        <v>0</v>
      </c>
      <c r="G9" s="53">
        <v>14284</v>
      </c>
      <c r="H9" s="53">
        <v>0</v>
      </c>
      <c r="I9" s="53">
        <v>14284</v>
      </c>
      <c r="J9" s="29" t="s">
        <v>59</v>
      </c>
    </row>
    <row r="10" ht="19" customHeight="1" spans="2:10" x14ac:dyDescent="0.25">
      <c r="B10" s="54" t="s">
        <v>139</v>
      </c>
      <c r="C10" s="32"/>
      <c r="D10" s="32"/>
      <c r="E10" s="32"/>
      <c r="F10" s="32"/>
      <c r="G10" s="32"/>
      <c r="H10" s="32"/>
      <c r="I10" s="31">
        <v>46599</v>
      </c>
      <c r="J10" s="32" t="s">
        <v>140</v>
      </c>
    </row>
    <row r="12" ht="24" customHeight="1" spans="2:10" x14ac:dyDescent="0.25">
      <c r="B12" s="51" t="s">
        <v>141</v>
      </c>
      <c r="C12" s="51"/>
      <c r="D12" s="51"/>
      <c r="E12" s="51"/>
      <c r="F12" s="51"/>
      <c r="G12" s="51"/>
      <c r="H12" s="51"/>
      <c r="I12" s="51"/>
      <c r="J12" s="51"/>
    </row>
    <row r="13" ht="30" customHeight="1" spans="2:10" x14ac:dyDescent="0.25">
      <c r="B13" s="25" t="s">
        <v>101</v>
      </c>
      <c r="C13" s="26" t="s">
        <v>57</v>
      </c>
      <c r="D13" s="26" t="s">
        <v>134</v>
      </c>
      <c r="E13" s="26" t="s">
        <v>135</v>
      </c>
      <c r="F13" s="26" t="s">
        <v>136</v>
      </c>
      <c r="G13" s="26" t="s">
        <v>81</v>
      </c>
      <c r="H13" s="26" t="s">
        <v>82</v>
      </c>
      <c r="I13" s="26" t="s">
        <v>137</v>
      </c>
      <c r="J13" s="26" t="s">
        <v>45</v>
      </c>
    </row>
    <row r="14" ht="19" customHeight="1" spans="2:10" x14ac:dyDescent="0.25">
      <c r="B14" s="30">
        <v>2033</v>
      </c>
      <c r="C14" s="32">
        <v>65</v>
      </c>
      <c r="D14" s="52">
        <v>0</v>
      </c>
      <c r="E14" s="52">
        <v>23355</v>
      </c>
      <c r="F14" s="52">
        <v>23355</v>
      </c>
      <c r="G14" s="52">
        <v>59671</v>
      </c>
      <c r="H14" s="52">
        <v>0</v>
      </c>
      <c r="I14" s="52">
        <v>106381</v>
      </c>
      <c r="J14" s="32" t="s">
        <v>142</v>
      </c>
    </row>
    <row r="15" ht="19" customHeight="1" spans="2:10" x14ac:dyDescent="0.25">
      <c r="B15" s="27">
        <v>2034</v>
      </c>
      <c r="C15" s="29">
        <v>66</v>
      </c>
      <c r="D15" s="53">
        <v>0</v>
      </c>
      <c r="E15" s="53">
        <v>0</v>
      </c>
      <c r="F15" s="53">
        <v>0</v>
      </c>
      <c r="G15" s="53">
        <v>58468</v>
      </c>
      <c r="H15" s="53">
        <v>0</v>
      </c>
      <c r="I15" s="53">
        <v>58468</v>
      </c>
      <c r="J15" s="29" t="s">
        <v>59</v>
      </c>
    </row>
    <row r="16" ht="19" customHeight="1" spans="2:10" x14ac:dyDescent="0.25">
      <c r="B16" s="30">
        <v>2035</v>
      </c>
      <c r="C16" s="32">
        <v>67</v>
      </c>
      <c r="D16" s="52">
        <v>0</v>
      </c>
      <c r="E16" s="52">
        <v>0</v>
      </c>
      <c r="F16" s="52">
        <v>0</v>
      </c>
      <c r="G16" s="52">
        <v>40479</v>
      </c>
      <c r="H16" s="52">
        <v>0</v>
      </c>
      <c r="I16" s="52">
        <v>40479</v>
      </c>
      <c r="J16" s="32" t="s">
        <v>59</v>
      </c>
    </row>
    <row r="17" ht="19" customHeight="1" spans="2:10" x14ac:dyDescent="0.25">
      <c r="B17" s="27">
        <v>2036</v>
      </c>
      <c r="C17" s="29">
        <v>68</v>
      </c>
      <c r="D17" s="53">
        <v>0</v>
      </c>
      <c r="E17" s="53">
        <v>0</v>
      </c>
      <c r="F17" s="53">
        <v>0</v>
      </c>
      <c r="G17" s="53">
        <v>0</v>
      </c>
      <c r="H17" s="53">
        <v>47436</v>
      </c>
      <c r="I17" s="53">
        <v>47436</v>
      </c>
      <c r="J17" s="29" t="s">
        <v>59</v>
      </c>
    </row>
    <row r="18" ht="19" customHeight="1" spans="2:10" x14ac:dyDescent="0.25">
      <c r="B18" s="30">
        <v>2037</v>
      </c>
      <c r="C18" s="32">
        <v>69</v>
      </c>
      <c r="D18" s="52">
        <v>0</v>
      </c>
      <c r="E18" s="52">
        <v>0</v>
      </c>
      <c r="F18" s="52">
        <v>0</v>
      </c>
      <c r="G18" s="52">
        <v>0</v>
      </c>
      <c r="H18" s="52">
        <v>21104</v>
      </c>
      <c r="I18" s="52">
        <v>21104</v>
      </c>
      <c r="J18" s="32" t="s">
        <v>59</v>
      </c>
    </row>
    <row r="19" ht="19" customHeight="1" spans="2:10" x14ac:dyDescent="0.25">
      <c r="B19" s="27">
        <v>2038</v>
      </c>
      <c r="C19" s="29">
        <v>70</v>
      </c>
      <c r="D19" s="53">
        <v>0</v>
      </c>
      <c r="E19" s="53">
        <v>82914</v>
      </c>
      <c r="F19" s="53">
        <v>82914</v>
      </c>
      <c r="G19" s="53">
        <v>0</v>
      </c>
      <c r="H19" s="53">
        <v>83703</v>
      </c>
      <c r="I19" s="53">
        <v>249531</v>
      </c>
      <c r="J19" s="29" t="s">
        <v>59</v>
      </c>
    </row>
    <row r="20" ht="19" customHeight="1" spans="2:10" x14ac:dyDescent="0.25">
      <c r="B20" s="30">
        <v>2039</v>
      </c>
      <c r="C20" s="32">
        <v>71</v>
      </c>
      <c r="D20" s="52">
        <v>0</v>
      </c>
      <c r="E20" s="52">
        <v>142079</v>
      </c>
      <c r="F20" s="52">
        <v>142079</v>
      </c>
      <c r="G20" s="52">
        <v>0</v>
      </c>
      <c r="H20" s="52">
        <v>49313</v>
      </c>
      <c r="I20" s="52">
        <v>333471</v>
      </c>
      <c r="J20" s="32" t="s">
        <v>59</v>
      </c>
    </row>
    <row r="21" ht="19" customHeight="1" spans="2:10" x14ac:dyDescent="0.25">
      <c r="B21" s="55" t="s">
        <v>143</v>
      </c>
      <c r="C21" s="29"/>
      <c r="D21" s="29"/>
      <c r="E21" s="29"/>
      <c r="F21" s="29"/>
      <c r="G21" s="29"/>
      <c r="H21" s="29"/>
      <c r="I21" s="33">
        <v>122410</v>
      </c>
      <c r="J21" s="29" t="s">
        <v>144</v>
      </c>
    </row>
    <row r="23" ht="24" customHeight="1" spans="2:10" x14ac:dyDescent="0.25">
      <c r="B23" s="51" t="s">
        <v>145</v>
      </c>
      <c r="C23" s="51"/>
      <c r="D23" s="51"/>
      <c r="E23" s="51"/>
      <c r="F23" s="51"/>
      <c r="G23" s="51"/>
      <c r="H23" s="51"/>
      <c r="I23" s="51"/>
      <c r="J23" s="51"/>
    </row>
    <row r="24" ht="16" customHeight="1" spans="2:10" x14ac:dyDescent="0.25">
      <c r="B24" s="23" t="s">
        <v>146</v>
      </c>
      <c r="C24" s="23"/>
      <c r="D24" s="23"/>
      <c r="E24" s="23"/>
      <c r="F24" s="23"/>
      <c r="G24" s="23"/>
      <c r="H24" s="23"/>
      <c r="I24" s="23"/>
      <c r="J24" s="23"/>
    </row>
    <row r="25" ht="30" customHeight="1" spans="2:10" x14ac:dyDescent="0.25">
      <c r="B25" s="25" t="s">
        <v>101</v>
      </c>
      <c r="C25" s="26" t="s">
        <v>57</v>
      </c>
      <c r="D25" s="26" t="s">
        <v>134</v>
      </c>
      <c r="E25" s="26" t="s">
        <v>135</v>
      </c>
      <c r="F25" s="26" t="s">
        <v>136</v>
      </c>
      <c r="G25" s="26" t="s">
        <v>81</v>
      </c>
      <c r="H25" s="26" t="s">
        <v>82</v>
      </c>
      <c r="I25" s="26" t="s">
        <v>137</v>
      </c>
      <c r="J25" s="26" t="s">
        <v>45</v>
      </c>
    </row>
    <row r="26" ht="19" customHeight="1" spans="2:10" x14ac:dyDescent="0.25">
      <c r="B26" s="30">
        <v>2040</v>
      </c>
      <c r="C26" s="32">
        <v>72</v>
      </c>
      <c r="D26" s="52">
        <v>45145</v>
      </c>
      <c r="E26" s="52">
        <v>0</v>
      </c>
      <c r="F26" s="52">
        <v>0</v>
      </c>
      <c r="G26" s="52">
        <v>0</v>
      </c>
      <c r="H26" s="52">
        <v>0</v>
      </c>
      <c r="I26" s="52">
        <v>45145</v>
      </c>
      <c r="J26" s="32" t="s">
        <v>147</v>
      </c>
    </row>
    <row r="27" ht="19" customHeight="1" spans="2:10" x14ac:dyDescent="0.25">
      <c r="B27" s="27">
        <v>2041</v>
      </c>
      <c r="C27" s="29">
        <v>73</v>
      </c>
      <c r="D27" s="53">
        <v>57286</v>
      </c>
      <c r="E27" s="53">
        <v>0</v>
      </c>
      <c r="F27" s="53">
        <v>0</v>
      </c>
      <c r="G27" s="53">
        <v>0</v>
      </c>
      <c r="H27" s="53">
        <v>0</v>
      </c>
      <c r="I27" s="53">
        <v>57286</v>
      </c>
      <c r="J27" s="29" t="s">
        <v>59</v>
      </c>
    </row>
    <row r="28" ht="19" customHeight="1" spans="2:10" x14ac:dyDescent="0.25">
      <c r="B28" s="30">
        <v>2042</v>
      </c>
      <c r="C28" s="32">
        <v>74</v>
      </c>
      <c r="D28" s="52">
        <v>59607</v>
      </c>
      <c r="E28" s="52">
        <v>96047</v>
      </c>
      <c r="F28" s="52">
        <v>155654</v>
      </c>
      <c r="G28" s="52">
        <v>0</v>
      </c>
      <c r="H28" s="52">
        <v>27889</v>
      </c>
      <c r="I28" s="52">
        <v>339197</v>
      </c>
      <c r="J28" s="32" t="s">
        <v>59</v>
      </c>
    </row>
    <row r="29" ht="19" customHeight="1" spans="2:10" x14ac:dyDescent="0.25">
      <c r="B29" s="27">
        <v>2043</v>
      </c>
      <c r="C29" s="29">
        <v>75</v>
      </c>
      <c r="D29" s="53">
        <v>52125</v>
      </c>
      <c r="E29" s="53">
        <v>216606</v>
      </c>
      <c r="F29" s="53">
        <v>268731</v>
      </c>
      <c r="G29" s="53">
        <v>0</v>
      </c>
      <c r="H29" s="53">
        <v>74982</v>
      </c>
      <c r="I29" s="53">
        <v>612444</v>
      </c>
      <c r="J29" s="29" t="s">
        <v>59</v>
      </c>
    </row>
    <row r="30" ht="19" customHeight="1" spans="2:10" x14ac:dyDescent="0.25">
      <c r="B30" s="30">
        <v>2044</v>
      </c>
      <c r="C30" s="32">
        <v>76</v>
      </c>
      <c r="D30" s="52">
        <v>37488</v>
      </c>
      <c r="E30" s="52">
        <v>0</v>
      </c>
      <c r="F30" s="52">
        <v>0</v>
      </c>
      <c r="G30" s="52">
        <v>0</v>
      </c>
      <c r="H30" s="52">
        <v>0</v>
      </c>
      <c r="I30" s="52">
        <v>37488</v>
      </c>
      <c r="J30" s="32" t="s">
        <v>59</v>
      </c>
    </row>
    <row r="31" ht="19" customHeight="1" spans="2:10" x14ac:dyDescent="0.25">
      <c r="B31" s="27">
        <v>2045</v>
      </c>
      <c r="C31" s="29">
        <v>77</v>
      </c>
      <c r="D31" s="53">
        <v>40583</v>
      </c>
      <c r="E31" s="53">
        <v>0</v>
      </c>
      <c r="F31" s="53">
        <v>11105</v>
      </c>
      <c r="G31" s="53">
        <v>0</v>
      </c>
      <c r="H31" s="53">
        <v>0</v>
      </c>
      <c r="I31" s="53">
        <v>51688</v>
      </c>
      <c r="J31" s="29" t="s">
        <v>59</v>
      </c>
    </row>
    <row r="32" ht="19" customHeight="1" spans="2:10" x14ac:dyDescent="0.25">
      <c r="B32" s="30">
        <v>2046</v>
      </c>
      <c r="C32" s="32">
        <v>78</v>
      </c>
      <c r="D32" s="52">
        <v>41126</v>
      </c>
      <c r="E32" s="52">
        <v>0</v>
      </c>
      <c r="F32" s="52">
        <v>0</v>
      </c>
      <c r="G32" s="52">
        <v>0</v>
      </c>
      <c r="H32" s="52">
        <v>0</v>
      </c>
      <c r="I32" s="52">
        <v>41126</v>
      </c>
      <c r="J32" s="32" t="s">
        <v>59</v>
      </c>
    </row>
    <row r="33" ht="19" customHeight="1" spans="2:10" x14ac:dyDescent="0.25">
      <c r="B33" s="27">
        <v>2047</v>
      </c>
      <c r="C33" s="29">
        <v>79</v>
      </c>
      <c r="D33" s="53">
        <v>44020</v>
      </c>
      <c r="E33" s="53">
        <v>0</v>
      </c>
      <c r="F33" s="53">
        <v>0</v>
      </c>
      <c r="G33" s="53">
        <v>0</v>
      </c>
      <c r="H33" s="53">
        <v>0</v>
      </c>
      <c r="I33" s="53">
        <v>44020</v>
      </c>
      <c r="J33" s="29" t="s">
        <v>59</v>
      </c>
    </row>
    <row r="34" ht="19" customHeight="1" spans="2:10" x14ac:dyDescent="0.25">
      <c r="B34" s="30">
        <v>2048</v>
      </c>
      <c r="C34" s="32">
        <v>80</v>
      </c>
      <c r="D34" s="52">
        <v>47352</v>
      </c>
      <c r="E34" s="52">
        <v>66604</v>
      </c>
      <c r="F34" s="52">
        <v>113956</v>
      </c>
      <c r="G34" s="52">
        <v>0</v>
      </c>
      <c r="H34" s="52">
        <v>28561</v>
      </c>
      <c r="I34" s="52">
        <v>256473</v>
      </c>
      <c r="J34" s="32" t="s">
        <v>59</v>
      </c>
    </row>
    <row r="35" ht="19" customHeight="1" spans="2:10" x14ac:dyDescent="0.25">
      <c r="B35" s="27">
        <v>2049</v>
      </c>
      <c r="C35" s="29">
        <v>81</v>
      </c>
      <c r="D35" s="53">
        <v>41089</v>
      </c>
      <c r="E35" s="53">
        <v>0</v>
      </c>
      <c r="F35" s="53">
        <v>0</v>
      </c>
      <c r="G35" s="53">
        <v>0</v>
      </c>
      <c r="H35" s="53">
        <v>0</v>
      </c>
      <c r="I35" s="53">
        <v>41089</v>
      </c>
      <c r="J35" s="29" t="s">
        <v>59</v>
      </c>
    </row>
    <row r="36" ht="19" customHeight="1" spans="2:10" x14ac:dyDescent="0.25">
      <c r="B36" s="30">
        <v>2050</v>
      </c>
      <c r="C36" s="32">
        <v>82</v>
      </c>
      <c r="D36" s="52">
        <v>43523</v>
      </c>
      <c r="E36" s="52">
        <v>0</v>
      </c>
      <c r="F36" s="52">
        <v>0</v>
      </c>
      <c r="G36" s="52">
        <v>0</v>
      </c>
      <c r="H36" s="52">
        <v>0</v>
      </c>
      <c r="I36" s="52">
        <v>43523</v>
      </c>
      <c r="J36" s="32" t="s">
        <v>59</v>
      </c>
    </row>
    <row r="37" ht="19" customHeight="1" spans="2:10" x14ac:dyDescent="0.25">
      <c r="B37" s="27">
        <v>2051</v>
      </c>
      <c r="C37" s="29">
        <v>83</v>
      </c>
      <c r="D37" s="53">
        <v>47926</v>
      </c>
      <c r="E37" s="53">
        <v>17818</v>
      </c>
      <c r="F37" s="53">
        <v>65744</v>
      </c>
      <c r="G37" s="53">
        <v>0</v>
      </c>
      <c r="H37" s="53">
        <v>10485</v>
      </c>
      <c r="I37" s="53">
        <v>141973</v>
      </c>
      <c r="J37" s="29" t="s">
        <v>59</v>
      </c>
    </row>
    <row r="38" ht="19" customHeight="1" spans="2:10" x14ac:dyDescent="0.25">
      <c r="B38" s="30">
        <v>2052</v>
      </c>
      <c r="C38" s="32">
        <v>84</v>
      </c>
      <c r="D38" s="52">
        <v>44914</v>
      </c>
      <c r="E38" s="52">
        <v>0</v>
      </c>
      <c r="F38" s="52">
        <v>0</v>
      </c>
      <c r="G38" s="52">
        <v>0</v>
      </c>
      <c r="H38" s="52">
        <v>0</v>
      </c>
      <c r="I38" s="52">
        <v>44914</v>
      </c>
      <c r="J38" s="32" t="s">
        <v>59</v>
      </c>
    </row>
    <row r="39" ht="19" customHeight="1" spans="2:10" x14ac:dyDescent="0.25">
      <c r="B39" s="27">
        <v>2053</v>
      </c>
      <c r="C39" s="29">
        <v>85</v>
      </c>
      <c r="D39" s="53">
        <v>48544</v>
      </c>
      <c r="E39" s="53">
        <v>0</v>
      </c>
      <c r="F39" s="53">
        <v>0</v>
      </c>
      <c r="G39" s="53">
        <v>0</v>
      </c>
      <c r="H39" s="53">
        <v>0</v>
      </c>
      <c r="I39" s="53">
        <v>48544</v>
      </c>
      <c r="J39" s="29" t="s">
        <v>59</v>
      </c>
    </row>
    <row r="40" ht="19" customHeight="1" spans="2:10" x14ac:dyDescent="0.25">
      <c r="B40" s="30">
        <v>2054</v>
      </c>
      <c r="C40" s="32">
        <v>86</v>
      </c>
      <c r="D40" s="52">
        <v>53620</v>
      </c>
      <c r="E40" s="52">
        <v>15107</v>
      </c>
      <c r="F40" s="52">
        <v>68727</v>
      </c>
      <c r="G40" s="52">
        <v>0</v>
      </c>
      <c r="H40" s="52">
        <v>11706</v>
      </c>
      <c r="I40" s="52">
        <v>149160</v>
      </c>
      <c r="J40" s="32" t="s">
        <v>59</v>
      </c>
    </row>
    <row r="41" ht="19" customHeight="1" spans="2:10" x14ac:dyDescent="0.25">
      <c r="B41" s="27">
        <v>2055</v>
      </c>
      <c r="C41" s="29">
        <v>87</v>
      </c>
      <c r="D41" s="53">
        <v>50397</v>
      </c>
      <c r="E41" s="53">
        <v>0</v>
      </c>
      <c r="F41" s="53">
        <v>0</v>
      </c>
      <c r="G41" s="53">
        <v>0</v>
      </c>
      <c r="H41" s="53">
        <v>0</v>
      </c>
      <c r="I41" s="53">
        <v>50397</v>
      </c>
      <c r="J41" s="29" t="s">
        <v>59</v>
      </c>
    </row>
    <row r="42" ht="19" customHeight="1" spans="2:10" x14ac:dyDescent="0.25">
      <c r="B42" s="30">
        <v>2056</v>
      </c>
      <c r="C42" s="32">
        <v>88</v>
      </c>
      <c r="D42" s="52">
        <v>56316</v>
      </c>
      <c r="E42" s="52">
        <v>16977</v>
      </c>
      <c r="F42" s="52">
        <v>73293</v>
      </c>
      <c r="G42" s="52">
        <v>0</v>
      </c>
      <c r="H42" s="52">
        <v>5787</v>
      </c>
      <c r="I42" s="52">
        <v>152373</v>
      </c>
      <c r="J42" s="32" t="s">
        <v>59</v>
      </c>
    </row>
    <row r="43" ht="19" customHeight="1" spans="2:10" x14ac:dyDescent="0.25">
      <c r="B43" s="27">
        <v>2057</v>
      </c>
      <c r="C43" s="29">
        <v>89</v>
      </c>
      <c r="D43" s="53">
        <v>52564</v>
      </c>
      <c r="E43" s="53">
        <v>0</v>
      </c>
      <c r="F43" s="53">
        <v>13959</v>
      </c>
      <c r="G43" s="53">
        <v>0</v>
      </c>
      <c r="H43" s="53">
        <v>0</v>
      </c>
      <c r="I43" s="53">
        <v>66523</v>
      </c>
      <c r="J43" s="29" t="s">
        <v>59</v>
      </c>
    </row>
    <row r="44" ht="19" customHeight="1" spans="2:10" x14ac:dyDescent="0.25">
      <c r="B44" s="30">
        <v>2058</v>
      </c>
      <c r="C44" s="32">
        <v>90</v>
      </c>
      <c r="D44" s="52">
        <v>55348</v>
      </c>
      <c r="E44" s="52">
        <v>0</v>
      </c>
      <c r="F44" s="52">
        <v>29567</v>
      </c>
      <c r="G44" s="52">
        <v>0</v>
      </c>
      <c r="H44" s="52">
        <v>0</v>
      </c>
      <c r="I44" s="52">
        <v>84915</v>
      </c>
      <c r="J44" s="32" t="s">
        <v>59</v>
      </c>
    </row>
    <row r="45" ht="19" customHeight="1" spans="2:10" x14ac:dyDescent="0.25">
      <c r="B45" s="27">
        <v>2059</v>
      </c>
      <c r="C45" s="29">
        <v>91</v>
      </c>
      <c r="D45" s="53">
        <v>56780</v>
      </c>
      <c r="E45" s="53">
        <v>34476</v>
      </c>
      <c r="F45" s="53">
        <v>91256</v>
      </c>
      <c r="G45" s="53">
        <v>0</v>
      </c>
      <c r="H45" s="53">
        <v>27786</v>
      </c>
      <c r="I45" s="53">
        <v>210298</v>
      </c>
      <c r="J45" s="29" t="s">
        <v>59</v>
      </c>
    </row>
    <row r="46" ht="19" customHeight="1" spans="2:10" x14ac:dyDescent="0.25">
      <c r="B46" s="30">
        <v>2060</v>
      </c>
      <c r="C46" s="32">
        <v>92</v>
      </c>
      <c r="D46" s="52">
        <v>49774</v>
      </c>
      <c r="E46" s="52">
        <v>0</v>
      </c>
      <c r="F46" s="52">
        <v>23881</v>
      </c>
      <c r="G46" s="52">
        <v>0</v>
      </c>
      <c r="H46" s="52">
        <v>0</v>
      </c>
      <c r="I46" s="52">
        <v>73655</v>
      </c>
      <c r="J46" s="32" t="s">
        <v>59</v>
      </c>
    </row>
    <row r="47" ht="19" customHeight="1" spans="2:10" x14ac:dyDescent="0.25">
      <c r="B47" s="55" t="s">
        <v>148</v>
      </c>
      <c r="C47" s="29"/>
      <c r="D47" s="29"/>
      <c r="E47" s="29"/>
      <c r="F47" s="29"/>
      <c r="G47" s="29"/>
      <c r="H47" s="29"/>
      <c r="I47" s="33">
        <v>123440</v>
      </c>
      <c r="J47" s="29" t="s">
        <v>149</v>
      </c>
    </row>
    <row r="50" spans="2:14" x14ac:dyDescent="0.25">
      <c r="B50" s="35" t="s">
        <v>53</v>
      </c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</row>
  </sheetData>
  <autoFilter ref="B25:J25"/>
  <mergeCells count="8">
    <mergeCell ref="B2:N2"/>
    <mergeCell ref="B3:N3"/>
    <mergeCell ref="B5:J5"/>
    <mergeCell ref="B6:J6"/>
    <mergeCell ref="B12:J12"/>
    <mergeCell ref="B23:J23"/>
    <mergeCell ref="B24:J24"/>
    <mergeCell ref="B50:N50"/>
  </mergeCells>
  <pageSetup paperSize="9" orientation="landscape" fitToWidth="1" fitToHeight="0"/>
  <headerFooter>
    <oddFooter>&amp;L&amp;8BuildFi Technologies inc.&amp;C&amp;8Page &amp;P /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N31"/>
  <sheetViews>
    <sheetView workbookViewId="0">
      <pane ySplit="22" topLeftCell="A23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24" customWidth="1"/>
    <col min="3" max="7" width="18" customWidth="1"/>
    <col min="8" max="14" width="14" customWidth="1"/>
  </cols>
  <sheetData>
    <row r="1" ht="8" customHeight="1" x14ac:dyDescent="0.25"/>
    <row r="2" ht="28" customHeight="1" spans="2:14" x14ac:dyDescent="0.25">
      <c r="B2" s="36" t="s">
        <v>150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ht="16" customHeight="1" spans="2:14" x14ac:dyDescent="0.25">
      <c r="B3" s="37" t="s">
        <v>151</v>
      </c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</row>
    <row r="5" ht="24" customHeight="1" spans="2:14" x14ac:dyDescent="0.25">
      <c r="B5" s="18" t="s">
        <v>152</v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</row>
    <row r="6" ht="16" customHeight="1" spans="2:14" x14ac:dyDescent="0.25">
      <c r="B6" s="24" t="s">
        <v>153</v>
      </c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</row>
    <row r="7" ht="30" customHeight="1" spans="2:7" x14ac:dyDescent="0.25">
      <c r="B7" s="25" t="s">
        <v>154</v>
      </c>
      <c r="C7" s="26" t="s">
        <v>155</v>
      </c>
      <c r="D7" s="26" t="s">
        <v>156</v>
      </c>
      <c r="E7" s="26" t="s">
        <v>84</v>
      </c>
      <c r="F7" s="26" t="s">
        <v>118</v>
      </c>
      <c r="G7" s="26" t="s">
        <v>157</v>
      </c>
    </row>
    <row r="8" ht="19" customHeight="1" spans="2:7" x14ac:dyDescent="0.25">
      <c r="B8" s="56">
        <v>0</v>
      </c>
      <c r="C8" s="31">
        <v>0</v>
      </c>
      <c r="D8" s="31">
        <v>0</v>
      </c>
      <c r="E8" s="31">
        <f>C8+D8</f>
        <v>0</v>
      </c>
      <c r="F8" s="48">
        <f>IFERROR(E8/B8,0)</f>
        <v>0</v>
      </c>
      <c r="G8" s="48">
        <v>0.14</v>
      </c>
    </row>
    <row r="9" ht="19" customHeight="1" spans="2:7" x14ac:dyDescent="0.25">
      <c r="B9" s="57">
        <v>20000</v>
      </c>
      <c r="C9" s="33">
        <v>415</v>
      </c>
      <c r="D9" s="33">
        <v>147</v>
      </c>
      <c r="E9" s="33">
        <f>C9+D9</f>
        <v>561</v>
      </c>
      <c r="F9" s="34">
        <f>IFERROR(E9/B9,0)</f>
        <v>0.02807406000000002</v>
      </c>
      <c r="G9" s="34">
        <v>0.2569</v>
      </c>
    </row>
    <row r="10" ht="19" customHeight="1" spans="2:7" x14ac:dyDescent="0.25">
      <c r="B10" s="56">
        <v>40000</v>
      </c>
      <c r="C10" s="31">
        <v>2753</v>
      </c>
      <c r="D10" s="31">
        <v>2947</v>
      </c>
      <c r="E10" s="31">
        <f>C10+D10</f>
        <v>5699</v>
      </c>
      <c r="F10" s="48">
        <f>IFERROR(E10/B10,0)</f>
        <v>0.14248703000000001</v>
      </c>
      <c r="G10" s="48">
        <v>0.2569</v>
      </c>
    </row>
    <row r="11" ht="19" customHeight="1" spans="2:7" x14ac:dyDescent="0.25">
      <c r="B11" s="57">
        <v>60000</v>
      </c>
      <c r="C11" s="33">
        <v>5171</v>
      </c>
      <c r="D11" s="33">
        <v>6029</v>
      </c>
      <c r="E11" s="33">
        <f>C11+D11</f>
        <v>11200</v>
      </c>
      <c r="F11" s="34">
        <f>IFERROR(E11/B11,0)</f>
        <v>0.18667325625</v>
      </c>
      <c r="G11" s="34">
        <v>0.361175</v>
      </c>
    </row>
    <row r="12" ht="19" customHeight="1" spans="2:7" x14ac:dyDescent="0.25">
      <c r="B12" s="56">
        <v>80000</v>
      </c>
      <c r="C12" s="31">
        <v>8594</v>
      </c>
      <c r="D12" s="31">
        <v>9829</v>
      </c>
      <c r="E12" s="31">
        <f>C12+D12</f>
        <v>18424</v>
      </c>
      <c r="F12" s="48">
        <f>IFERROR(E12/B12,0)</f>
        <v>0.2302986921875</v>
      </c>
      <c r="G12" s="48">
        <v>0.361175</v>
      </c>
    </row>
    <row r="13" ht="19" customHeight="1" spans="2:7" x14ac:dyDescent="0.25">
      <c r="B13" s="57">
        <v>100000</v>
      </c>
      <c r="C13" s="33">
        <v>12018</v>
      </c>
      <c r="D13" s="33">
        <v>13629</v>
      </c>
      <c r="E13" s="33">
        <f>C13+D13</f>
        <v>25647</v>
      </c>
      <c r="F13" s="34">
        <f>IFERROR(E13/B13,0)</f>
        <v>0.25647395375</v>
      </c>
      <c r="G13" s="34">
        <v>0.361175</v>
      </c>
    </row>
    <row r="14" ht="19" customHeight="1" spans="2:7" x14ac:dyDescent="0.25">
      <c r="B14" s="56">
        <v>120000</v>
      </c>
      <c r="C14" s="31">
        <v>15577</v>
      </c>
      <c r="D14" s="31">
        <v>17993</v>
      </c>
      <c r="E14" s="31">
        <f>C14+D14</f>
        <v>33570</v>
      </c>
      <c r="F14" s="48">
        <f>IFERROR(E14/B14,0)</f>
        <v>0.27975086458333337</v>
      </c>
      <c r="G14" s="48">
        <v>0.45709999999999995</v>
      </c>
    </row>
    <row r="15" ht="19" customHeight="1" spans="2:7" x14ac:dyDescent="0.25">
      <c r="B15" s="57">
        <v>150000</v>
      </c>
      <c r="C15" s="33">
        <v>22090</v>
      </c>
      <c r="D15" s="33">
        <v>25504</v>
      </c>
      <c r="E15" s="33">
        <f>C15+D15</f>
        <v>47594</v>
      </c>
      <c r="F15" s="34">
        <f>IFERROR(E15/B15,0)</f>
        <v>0.3172921083333334</v>
      </c>
      <c r="G15" s="34">
        <v>0.4746</v>
      </c>
    </row>
    <row r="16" ht="19" customHeight="1" spans="2:7" x14ac:dyDescent="0.25">
      <c r="B16" s="56">
        <v>200000</v>
      </c>
      <c r="C16" s="31">
        <v>33410</v>
      </c>
      <c r="D16" s="31">
        <v>38379</v>
      </c>
      <c r="E16" s="31">
        <f>C16+D16</f>
        <v>71789</v>
      </c>
      <c r="F16" s="48">
        <f>IFERROR(E16/B16,0)</f>
        <v>0.35894372125</v>
      </c>
      <c r="G16" s="48">
        <v>0.49965</v>
      </c>
    </row>
    <row r="17" ht="19" customHeight="1" spans="2:7" x14ac:dyDescent="0.25">
      <c r="B17" s="57">
        <v>250000</v>
      </c>
      <c r="C17" s="33">
        <v>45518</v>
      </c>
      <c r="D17" s="33">
        <v>51254</v>
      </c>
      <c r="E17" s="33">
        <f>C17+D17</f>
        <v>96771</v>
      </c>
      <c r="F17" s="34">
        <f>IFERROR(E17/B17,0)</f>
        <v>0.387084977</v>
      </c>
      <c r="G17" s="34">
        <v>0.49965</v>
      </c>
    </row>
    <row r="18" ht="19" customHeight="1" spans="2:7" x14ac:dyDescent="0.25">
      <c r="B18" s="56">
        <v>300000</v>
      </c>
      <c r="C18" s="31">
        <v>59012</v>
      </c>
      <c r="D18" s="31">
        <v>64129</v>
      </c>
      <c r="E18" s="31">
        <f>C18+D18</f>
        <v>123140</v>
      </c>
      <c r="F18" s="48">
        <f>IFERROR(E18/B18,0)</f>
        <v>0.4104681515</v>
      </c>
      <c r="G18" s="48">
        <v>0.53305</v>
      </c>
    </row>
    <row r="20" ht="24" customHeight="1" spans="2:14" x14ac:dyDescent="0.25">
      <c r="B20" s="18" t="s">
        <v>158</v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</row>
    <row r="22" ht="30" customHeight="1" spans="2:6" x14ac:dyDescent="0.25">
      <c r="B22" s="25" t="s">
        <v>41</v>
      </c>
      <c r="C22" s="26" t="s">
        <v>159</v>
      </c>
      <c r="D22" s="26" t="s">
        <v>43</v>
      </c>
      <c r="E22" s="26" t="s">
        <v>44</v>
      </c>
      <c r="F22" s="26" t="s">
        <v>45</v>
      </c>
    </row>
    <row r="23" ht="19" customHeight="1" spans="2:6" x14ac:dyDescent="0.25">
      <c r="B23" s="27" t="s">
        <v>47</v>
      </c>
      <c r="C23" s="33">
        <v>1633425.5096619548</v>
      </c>
      <c r="D23" s="29"/>
      <c r="E23" s="29"/>
      <c r="F23" s="29"/>
    </row>
    <row r="24" ht="19" customHeight="1" spans="2:6" x14ac:dyDescent="0.25">
      <c r="B24" s="30" t="s">
        <v>52</v>
      </c>
      <c r="C24" s="48">
        <v>0.3010612502218105</v>
      </c>
      <c r="D24" s="32"/>
      <c r="E24" s="32"/>
      <c r="F24" s="32"/>
    </row>
    <row r="25" ht="19" customHeight="1" spans="2:6" x14ac:dyDescent="0.25">
      <c r="B25" s="27" t="s">
        <v>51</v>
      </c>
      <c r="C25" s="29">
        <v>22</v>
      </c>
      <c r="D25" s="29"/>
      <c r="E25" s="29"/>
      <c r="F25" s="29"/>
    </row>
    <row r="26" ht="19" customHeight="1" spans="2:6" x14ac:dyDescent="0.25">
      <c r="B26" s="30"/>
      <c r="C26" s="32"/>
      <c r="D26" s="32"/>
      <c r="E26" s="32"/>
      <c r="F26" s="32"/>
    </row>
    <row r="27" ht="19" customHeight="1" spans="2:6" x14ac:dyDescent="0.25">
      <c r="B27" s="44" t="s">
        <v>160</v>
      </c>
      <c r="C27" s="29"/>
      <c r="D27" s="29"/>
      <c r="E27" s="33">
        <v>0</v>
      </c>
      <c r="F27" s="29"/>
    </row>
    <row r="28" ht="19" customHeight="1" spans="2:6" x14ac:dyDescent="0.25">
      <c r="B28" s="30"/>
      <c r="C28" s="32"/>
      <c r="D28" s="32"/>
      <c r="E28" s="32"/>
      <c r="F28" s="32"/>
    </row>
    <row r="31" spans="2:14" x14ac:dyDescent="0.25">
      <c r="B31" s="35" t="s">
        <v>53</v>
      </c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</row>
  </sheetData>
  <autoFilter ref="B22:F22"/>
  <mergeCells count="6">
    <mergeCell ref="B2:N2"/>
    <mergeCell ref="B3:N3"/>
    <mergeCell ref="B5:N5"/>
    <mergeCell ref="B6:N6"/>
    <mergeCell ref="B20:N20"/>
    <mergeCell ref="B31:N31"/>
  </mergeCells>
  <pageSetup paperSize="9" orientation="landscape" fitToWidth="1" fitToHeight="0"/>
  <headerFooter>
    <oddFooter>&amp;L&amp;8BuildFi Technologies inc.&amp;C&amp;8Page &amp;P /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N28"/>
  <sheetViews>
    <sheetView workbookViewId="0">
      <pane ySplit="19" topLeftCell="A20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24" customWidth="1"/>
    <col min="3" max="5" width="14" customWidth="1"/>
    <col min="6" max="6" width="30" customWidth="1"/>
    <col min="7" max="7" width="14" customWidth="1"/>
    <col min="8" max="10" width="12" customWidth="1"/>
    <col min="11" max="11" width="30" customWidth="1"/>
    <col min="12" max="14" width="14" customWidth="1"/>
  </cols>
  <sheetData>
    <row r="1" ht="8" customHeight="1" x14ac:dyDescent="0.25"/>
    <row r="2" ht="28" customHeight="1" spans="2:14" x14ac:dyDescent="0.25">
      <c r="B2" s="36" t="s">
        <v>161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5" ht="24" customHeight="1" spans="2:14" x14ac:dyDescent="0.25">
      <c r="B5" s="18" t="s">
        <v>162</v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</row>
    <row r="6" ht="16" customHeight="1" spans="2:14" x14ac:dyDescent="0.25">
      <c r="B6" s="24" t="s">
        <v>163</v>
      </c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</row>
    <row r="7" ht="30" customHeight="1" spans="2:6" x14ac:dyDescent="0.25">
      <c r="B7" s="25" t="s">
        <v>164</v>
      </c>
      <c r="C7" s="26" t="s">
        <v>165</v>
      </c>
      <c r="D7" s="26" t="s">
        <v>166</v>
      </c>
      <c r="E7" s="26" t="s">
        <v>167</v>
      </c>
      <c r="F7" s="26" t="s">
        <v>168</v>
      </c>
    </row>
    <row r="8" ht="19" customHeight="1" spans="2:6" x14ac:dyDescent="0.25">
      <c r="B8" s="30" t="s">
        <v>169</v>
      </c>
      <c r="C8" s="58">
        <v>-9.149999999999991</v>
      </c>
      <c r="D8" s="31">
        <v>-75.14999999999999</v>
      </c>
      <c r="E8" s="31">
        <v>66</v>
      </c>
      <c r="F8" s="32"/>
    </row>
    <row r="9" ht="19" customHeight="1" spans="2:6" x14ac:dyDescent="0.25">
      <c r="B9" s="27" t="s">
        <v>170</v>
      </c>
      <c r="C9" s="59">
        <v>-71.14999999999999</v>
      </c>
      <c r="D9" s="33">
        <v>-13.149999999999991</v>
      </c>
      <c r="E9" s="33">
        <v>58</v>
      </c>
      <c r="F9" s="29"/>
    </row>
    <row r="10" ht="19" customHeight="1" spans="2:6" x14ac:dyDescent="0.25">
      <c r="B10" s="30" t="s">
        <v>171</v>
      </c>
      <c r="C10" s="58">
        <v>-33.149999999999984</v>
      </c>
      <c r="D10" s="31">
        <v>-63.14999999999999</v>
      </c>
      <c r="E10" s="31">
        <v>30.000000000000007</v>
      </c>
      <c r="F10" s="32"/>
    </row>
    <row r="11" ht="19" customHeight="1" spans="2:6" x14ac:dyDescent="0.25">
      <c r="B11" s="27" t="s">
        <v>172</v>
      </c>
      <c r="C11" s="59">
        <v>-63.14999999999999</v>
      </c>
      <c r="D11" s="33">
        <v>-37.14999999999999</v>
      </c>
      <c r="E11" s="33">
        <v>26</v>
      </c>
      <c r="F11" s="29"/>
    </row>
    <row r="12" ht="19" customHeight="1" spans="2:6" x14ac:dyDescent="0.25">
      <c r="B12" s="30" t="s">
        <v>173</v>
      </c>
      <c r="C12" s="58">
        <v>-69.14999999999999</v>
      </c>
      <c r="D12" s="31">
        <v>-53.14999999999999</v>
      </c>
      <c r="E12" s="31">
        <v>16</v>
      </c>
      <c r="F12" s="32"/>
    </row>
    <row r="13" ht="19" customHeight="1" spans="2:6" x14ac:dyDescent="0.25">
      <c r="B13" s="27" t="s">
        <v>174</v>
      </c>
      <c r="C13" s="59">
        <v>-57.14999999999999</v>
      </c>
      <c r="D13" s="33">
        <v>-43.14999999999999</v>
      </c>
      <c r="E13" s="33">
        <v>14</v>
      </c>
      <c r="F13" s="29"/>
    </row>
    <row r="14" ht="19" customHeight="1" spans="2:6" x14ac:dyDescent="0.25">
      <c r="B14" s="30" t="s">
        <v>175</v>
      </c>
      <c r="C14" s="58">
        <v>-51.14999999999999</v>
      </c>
      <c r="D14" s="31">
        <v>-45.14999999999999</v>
      </c>
      <c r="E14" s="31">
        <v>6</v>
      </c>
      <c r="F14" s="32"/>
    </row>
    <row r="15" ht="19" customHeight="1" spans="2:6" x14ac:dyDescent="0.25">
      <c r="B15" s="27" t="s">
        <v>176</v>
      </c>
      <c r="C15" s="59">
        <v>-59.14999999999999</v>
      </c>
      <c r="D15" s="33">
        <v>-57.14999999999999</v>
      </c>
      <c r="E15" s="33">
        <v>2</v>
      </c>
      <c r="F15" s="29"/>
    </row>
    <row r="17" ht="24" customHeight="1" spans="2:14" x14ac:dyDescent="0.25">
      <c r="B17" s="18" t="s">
        <v>177</v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</row>
    <row r="18" ht="16" customHeight="1" spans="2:14" x14ac:dyDescent="0.25">
      <c r="B18" s="24" t="s">
        <v>178</v>
      </c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</row>
    <row r="19" ht="30" customHeight="1" spans="2:10" x14ac:dyDescent="0.25">
      <c r="B19" s="25" t="s">
        <v>179</v>
      </c>
      <c r="C19" s="26" t="s">
        <v>180</v>
      </c>
      <c r="D19" s="26" t="s">
        <v>181</v>
      </c>
      <c r="E19" s="26" t="s">
        <v>44</v>
      </c>
      <c r="F19" s="26" t="s">
        <v>182</v>
      </c>
      <c r="G19" s="26" t="s">
        <v>183</v>
      </c>
      <c r="H19" s="26" t="s">
        <v>184</v>
      </c>
      <c r="I19" s="26" t="s">
        <v>185</v>
      </c>
      <c r="J19" s="26" t="s">
        <v>186</v>
      </c>
    </row>
    <row r="20" ht="19" customHeight="1" spans="2:10" x14ac:dyDescent="0.25">
      <c r="B20" s="30" t="s">
        <v>187</v>
      </c>
      <c r="C20" s="32" t="s">
        <v>97</v>
      </c>
      <c r="D20" s="42">
        <v>0.8915</v>
      </c>
      <c r="E20" s="32" t="s">
        <v>97</v>
      </c>
      <c r="F20" s="31">
        <v>1024551.0034595509</v>
      </c>
      <c r="G20" s="31">
        <v>0</v>
      </c>
      <c r="H20" s="60">
        <v>84</v>
      </c>
      <c r="I20" s="32" t="s">
        <v>97</v>
      </c>
      <c r="J20" s="32" t="s">
        <v>188</v>
      </c>
    </row>
    <row r="28" spans="2:14" x14ac:dyDescent="0.25">
      <c r="B28" s="35" t="s">
        <v>53</v>
      </c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</row>
  </sheetData>
  <autoFilter ref="B19:J19"/>
  <mergeCells count="6">
    <mergeCell ref="B2:N2"/>
    <mergeCell ref="B5:N5"/>
    <mergeCell ref="B6:N6"/>
    <mergeCell ref="B17:N17"/>
    <mergeCell ref="B18:N18"/>
    <mergeCell ref="B28:N28"/>
  </mergeCells>
  <pageSetup paperSize="9" orientation="landscape" fitToWidth="1" fitToHeight="0"/>
  <headerFooter>
    <oddFooter>&amp;L&amp;8BuildFi Technologies inc.&amp;C&amp;8Page &amp;P /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N27"/>
  <sheetViews>
    <sheetView workbookViewId="0">
      <pane ySplit="16" topLeftCell="A1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28" customWidth="1"/>
    <col min="3" max="5" width="18" customWidth="1"/>
    <col min="6" max="6" width="32" customWidth="1"/>
    <col min="7" max="14" width="14" customWidth="1"/>
  </cols>
  <sheetData>
    <row r="1" ht="8" customHeight="1" x14ac:dyDescent="0.25"/>
    <row r="2" ht="28" customHeight="1" spans="2:14" x14ac:dyDescent="0.25">
      <c r="B2" s="36" t="s">
        <v>189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ht="16" customHeight="1" spans="2:14" x14ac:dyDescent="0.25">
      <c r="B3" s="37" t="s">
        <v>190</v>
      </c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</row>
    <row r="5" ht="24" customHeight="1" spans="2:14" x14ac:dyDescent="0.25">
      <c r="B5" s="18" t="s">
        <v>191</v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</row>
    <row r="7" ht="30" customHeight="1" spans="2:6" x14ac:dyDescent="0.25">
      <c r="B7" s="25" t="s">
        <v>192</v>
      </c>
      <c r="C7" s="26" t="s">
        <v>50</v>
      </c>
      <c r="D7" s="26" t="s">
        <v>193</v>
      </c>
      <c r="E7" s="26" t="s">
        <v>194</v>
      </c>
      <c r="F7" s="26" t="s">
        <v>168</v>
      </c>
    </row>
    <row r="8" ht="19" customHeight="1" spans="2:6" x14ac:dyDescent="0.25">
      <c r="B8" s="30" t="s">
        <v>195</v>
      </c>
      <c r="C8" s="31">
        <v>-1200</v>
      </c>
      <c r="D8" s="31">
        <v>0</v>
      </c>
      <c r="E8" s="31">
        <v>-1200</v>
      </c>
      <c r="F8" s="32" t="s">
        <v>196</v>
      </c>
    </row>
    <row r="9" ht="19" customHeight="1" spans="2:6" x14ac:dyDescent="0.25">
      <c r="B9" s="27" t="s">
        <v>124</v>
      </c>
      <c r="C9" s="33">
        <v>765734.7585572079</v>
      </c>
      <c r="D9" s="33">
        <v>104928.48603142925</v>
      </c>
      <c r="E9" s="33">
        <v>870663.2445886371</v>
      </c>
      <c r="F9" s="29" t="s">
        <v>197</v>
      </c>
    </row>
    <row r="10" ht="19" customHeight="1" spans="2:6" x14ac:dyDescent="0.25">
      <c r="B10" s="30" t="s">
        <v>198</v>
      </c>
      <c r="C10" s="31">
        <v>1725102.1541739833</v>
      </c>
      <c r="D10" s="31">
        <v>354631.1814831464</v>
      </c>
      <c r="E10" s="31">
        <v>2079733.3356571295</v>
      </c>
      <c r="F10" s="32" t="s">
        <v>199</v>
      </c>
    </row>
    <row r="11" ht="19" customHeight="1" spans="2:6" x14ac:dyDescent="0.25">
      <c r="B11" s="27" t="s">
        <v>126</v>
      </c>
      <c r="C11" s="33">
        <v>3033475.103275649</v>
      </c>
      <c r="D11" s="33">
        <v>805685.6840005738</v>
      </c>
      <c r="E11" s="33">
        <v>3839160.7872762224</v>
      </c>
      <c r="F11" s="29" t="s">
        <v>200</v>
      </c>
    </row>
    <row r="12" ht="19" customHeight="1" spans="2:6" x14ac:dyDescent="0.25">
      <c r="B12" s="30" t="s">
        <v>201</v>
      </c>
      <c r="C12" s="31">
        <v>6402349.419834234</v>
      </c>
      <c r="D12" s="31">
        <v>1977685.6345241396</v>
      </c>
      <c r="E12" s="31">
        <v>8380035.054358373</v>
      </c>
      <c r="F12" s="32" t="s">
        <v>202</v>
      </c>
    </row>
    <row r="14" ht="24" customHeight="1" spans="2:14" x14ac:dyDescent="0.25">
      <c r="B14" s="18" t="s">
        <v>203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</row>
    <row r="16" ht="30" customHeight="1" spans="2:5" x14ac:dyDescent="0.25">
      <c r="B16" s="25" t="s">
        <v>204</v>
      </c>
      <c r="C16" s="26" t="s">
        <v>205</v>
      </c>
      <c r="D16" s="26" t="s">
        <v>206</v>
      </c>
      <c r="E16" s="26" t="s">
        <v>45</v>
      </c>
    </row>
    <row r="17" ht="19" customHeight="1" spans="2:5" x14ac:dyDescent="0.25">
      <c r="B17" s="27" t="s">
        <v>207</v>
      </c>
      <c r="C17" s="33">
        <v>2079733.3356571295</v>
      </c>
      <c r="D17" s="29" t="s">
        <v>208</v>
      </c>
      <c r="E17" s="29"/>
    </row>
    <row r="18" ht="19" customHeight="1" spans="2:5" x14ac:dyDescent="0.25">
      <c r="B18" s="30" t="s">
        <v>209</v>
      </c>
      <c r="C18" s="31">
        <v>-101417</v>
      </c>
      <c r="D18" s="32" t="s">
        <v>210</v>
      </c>
      <c r="E18" s="32"/>
    </row>
    <row r="19" ht="19" customHeight="1" spans="2:5" x14ac:dyDescent="0.25">
      <c r="B19" s="27" t="s">
        <v>211</v>
      </c>
      <c r="C19" s="33">
        <v>-61115</v>
      </c>
      <c r="D19" s="29" t="s">
        <v>212</v>
      </c>
      <c r="E19" s="29"/>
    </row>
    <row r="20" ht="19" customHeight="1" spans="2:5" x14ac:dyDescent="0.25">
      <c r="B20" s="30" t="s">
        <v>213</v>
      </c>
      <c r="C20" s="31">
        <v>0</v>
      </c>
      <c r="D20" s="32" t="s">
        <v>214</v>
      </c>
      <c r="E20" s="32"/>
    </row>
    <row r="21" ht="19" customHeight="1" spans="2:5" x14ac:dyDescent="0.25">
      <c r="B21" s="27" t="s">
        <v>215</v>
      </c>
      <c r="C21" s="33">
        <v>0</v>
      </c>
      <c r="D21" s="29" t="s">
        <v>216</v>
      </c>
      <c r="E21" s="29"/>
    </row>
    <row r="22" ht="19" customHeight="1" spans="2:5" x14ac:dyDescent="0.25">
      <c r="B22" s="30" t="s">
        <v>217</v>
      </c>
      <c r="C22" s="31">
        <v>-15399</v>
      </c>
      <c r="D22" s="32" t="s">
        <v>218</v>
      </c>
      <c r="E22" s="32"/>
    </row>
    <row r="23" ht="19" customHeight="1" spans="2:5" x14ac:dyDescent="0.25">
      <c r="B23" s="27" t="s">
        <v>219</v>
      </c>
      <c r="C23" s="33">
        <v>0</v>
      </c>
      <c r="D23" s="29" t="s">
        <v>220</v>
      </c>
      <c r="E23" s="29"/>
    </row>
    <row r="24" ht="19" customHeight="1" spans="2:5" x14ac:dyDescent="0.25">
      <c r="B24" s="45" t="s">
        <v>221</v>
      </c>
      <c r="C24" s="61">
        <v>1901802.3356571295</v>
      </c>
      <c r="D24" s="32" t="s">
        <v>222</v>
      </c>
      <c r="E24" s="32"/>
    </row>
    <row r="27" spans="2:14" x14ac:dyDescent="0.25">
      <c r="B27" s="35" t="s">
        <v>53</v>
      </c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</row>
  </sheetData>
  <autoFilter ref="B16:E16"/>
  <mergeCells count="5">
    <mergeCell ref="B2:N2"/>
    <mergeCell ref="B3:N3"/>
    <mergeCell ref="B5:N5"/>
    <mergeCell ref="B14:N14"/>
    <mergeCell ref="B27:N27"/>
  </mergeCells>
  <pageSetup paperSize="9" orientation="landscape" fitToWidth="1" fitToHeight="0"/>
  <headerFooter>
    <oddFooter>&amp;L&amp;8BuildFi Technologies inc.&amp;C&amp;8Page &amp;P /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N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24" customWidth="1"/>
    <col min="3" max="5" width="16" customWidth="1"/>
    <col min="6" max="6" width="12" customWidth="1"/>
    <col min="7" max="7" width="14" customWidth="1"/>
    <col min="8" max="8" width="12" customWidth="1"/>
    <col min="9" max="9" width="16" customWidth="1"/>
    <col min="10" max="14" width="14" customWidth="1"/>
  </cols>
  <sheetData>
    <row r="1" ht="8" customHeight="1" x14ac:dyDescent="0.25"/>
    <row r="2" ht="28" customHeight="1" spans="2:14" x14ac:dyDescent="0.25">
      <c r="B2" s="36" t="s">
        <v>223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ht="16" customHeight="1" spans="2:14" x14ac:dyDescent="0.25">
      <c r="B3" s="37" t="s">
        <v>224</v>
      </c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</row>
    <row r="5" ht="30" customHeight="1" spans="2:10" x14ac:dyDescent="0.25">
      <c r="B5" s="25" t="s">
        <v>225</v>
      </c>
      <c r="C5" s="26" t="s">
        <v>226</v>
      </c>
      <c r="D5" s="26" t="s">
        <v>103</v>
      </c>
      <c r="E5" s="26" t="s">
        <v>227</v>
      </c>
      <c r="F5" s="26" t="s">
        <v>228</v>
      </c>
      <c r="G5" s="26" t="s">
        <v>229</v>
      </c>
      <c r="H5" s="26" t="s">
        <v>230</v>
      </c>
      <c r="I5" s="26" t="s">
        <v>231</v>
      </c>
      <c r="J5" s="26" t="s">
        <v>232</v>
      </c>
    </row>
    <row r="6" ht="19" customHeight="1" spans="2:10" x14ac:dyDescent="0.25">
      <c r="B6" s="30"/>
      <c r="C6" s="32"/>
      <c r="D6" s="32"/>
      <c r="E6" s="32"/>
      <c r="F6" s="32"/>
      <c r="G6" s="32"/>
      <c r="H6" s="32"/>
      <c r="I6" s="32"/>
      <c r="J6" s="32"/>
    </row>
    <row r="9" spans="2:14" x14ac:dyDescent="0.25">
      <c r="B9" s="35" t="s">
        <v>53</v>
      </c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</row>
  </sheetData>
  <autoFilter ref="B5:J5"/>
  <mergeCells count="3">
    <mergeCell ref="B2:N2"/>
    <mergeCell ref="B3:N3"/>
    <mergeCell ref="B9:N9"/>
  </mergeCells>
  <pageSetup paperSize="9" orientation="landscape" fitToWidth="1" fitToHeight="0"/>
  <headerFooter>
    <oddFooter>&amp;L&amp;8BuildFi Technologies inc.&amp;C&amp;8Page &amp;P /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N3"/>
  <sheetFormatPr defaultRowHeight="15" outlineLevelRow="0" outlineLevelCol="0" x14ac:dyDescent="55"/>
  <cols>
    <col min="1" max="1" width="3" customWidth="1"/>
    <col min="2" max="2" width="10" customWidth="1"/>
    <col min="3" max="3" width="8" customWidth="1"/>
    <col min="4" max="4" width="16" customWidth="1"/>
    <col min="5" max="8" width="14" customWidth="1"/>
    <col min="9" max="10" width="12" customWidth="1"/>
    <col min="11" max="11" width="14" customWidth="1"/>
    <col min="12" max="12" width="12" customWidth="1"/>
    <col min="13" max="13" width="14" customWidth="1"/>
  </cols>
  <sheetData>
    <row r="1" ht="8" customHeight="1" x14ac:dyDescent="0.25"/>
    <row r="2" ht="28" customHeight="1" spans="2:14" x14ac:dyDescent="0.25">
      <c r="B2" s="36" t="s">
        <v>29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ht="16" customHeight="1" spans="2:14" x14ac:dyDescent="0.25">
      <c r="B3" s="37" t="s">
        <v>233</v>
      </c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</row>
  </sheetData>
  <mergeCells count="2">
    <mergeCell ref="B2:N2"/>
    <mergeCell ref="B3:N3"/>
  </mergeCells>
  <pageSetup paperSize="9" orientation="landscape" fitToWidth="1" fitToHeight="0"/>
  <headerFooter>
    <oddFooter>&amp;L&amp;8BuildFi Technologies inc.&amp;C&amp;8Page &amp;P /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N44"/>
  <sheetViews>
    <sheetView workbookViewId="0">
      <pane ySplit="19" topLeftCell="A20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26" customWidth="1"/>
    <col min="3" max="3" width="32" customWidth="1"/>
    <col min="4" max="4" width="42" customWidth="1"/>
    <col min="5" max="14" width="14" customWidth="1"/>
  </cols>
  <sheetData>
    <row r="1" ht="8" customHeight="1" x14ac:dyDescent="0.25"/>
    <row r="2" ht="28" customHeight="1" spans="2:14" x14ac:dyDescent="0.25">
      <c r="B2" s="36" t="s">
        <v>234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ht="16" customHeight="1" spans="2:14" x14ac:dyDescent="0.25">
      <c r="B3" s="37" t="s">
        <v>235</v>
      </c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</row>
    <row r="5" ht="24" customHeight="1" spans="2:14" x14ac:dyDescent="0.25">
      <c r="B5" s="18" t="s">
        <v>236</v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</row>
    <row r="7" ht="30" customHeight="1" spans="2:4" x14ac:dyDescent="0.25">
      <c r="B7" s="25" t="s">
        <v>204</v>
      </c>
      <c r="C7" s="26" t="s">
        <v>186</v>
      </c>
      <c r="D7" s="26" t="s">
        <v>237</v>
      </c>
    </row>
    <row r="8" ht="19" customHeight="1" spans="2:4" x14ac:dyDescent="0.25">
      <c r="B8" s="30" t="s">
        <v>238</v>
      </c>
      <c r="C8" s="32" t="s">
        <v>239</v>
      </c>
      <c r="D8" s="32" t="s">
        <v>240</v>
      </c>
    </row>
    <row r="9" ht="19" customHeight="1" spans="2:4" x14ac:dyDescent="0.25">
      <c r="B9" s="27" t="s">
        <v>241</v>
      </c>
      <c r="C9" s="29" t="s">
        <v>46</v>
      </c>
      <c r="D9" s="29" t="s">
        <v>242</v>
      </c>
    </row>
    <row r="10" ht="19" customHeight="1" spans="2:4" x14ac:dyDescent="0.25">
      <c r="B10" s="30" t="s">
        <v>243</v>
      </c>
      <c r="C10" s="32" t="s">
        <v>244</v>
      </c>
      <c r="D10" s="32" t="s">
        <v>245</v>
      </c>
    </row>
    <row r="11" ht="19" customHeight="1" spans="2:4" x14ac:dyDescent="0.25">
      <c r="B11" s="27" t="s">
        <v>246</v>
      </c>
      <c r="C11" s="29" t="s">
        <v>247</v>
      </c>
      <c r="D11" s="29" t="s">
        <v>248</v>
      </c>
    </row>
    <row r="12" ht="19" customHeight="1" spans="2:4" x14ac:dyDescent="0.25">
      <c r="B12" s="30" t="s">
        <v>249</v>
      </c>
      <c r="C12" s="32" t="s">
        <v>122</v>
      </c>
      <c r="D12" s="32" t="s">
        <v>59</v>
      </c>
    </row>
    <row r="13" ht="19" customHeight="1" spans="2:4" x14ac:dyDescent="0.25">
      <c r="B13" s="27" t="s">
        <v>250</v>
      </c>
      <c r="C13" s="29" t="s">
        <v>251</v>
      </c>
      <c r="D13" s="29" t="s">
        <v>252</v>
      </c>
    </row>
    <row r="14" ht="19" customHeight="1" spans="2:4" x14ac:dyDescent="0.25">
      <c r="B14" s="30" t="s">
        <v>253</v>
      </c>
      <c r="C14" s="32" t="s">
        <v>254</v>
      </c>
      <c r="D14" s="32" t="s">
        <v>255</v>
      </c>
    </row>
    <row r="15" ht="19" customHeight="1" spans="2:4" x14ac:dyDescent="0.25">
      <c r="B15" s="27" t="s">
        <v>256</v>
      </c>
      <c r="C15" s="29" t="s">
        <v>257</v>
      </c>
      <c r="D15" s="29" t="s">
        <v>258</v>
      </c>
    </row>
    <row r="17" ht="24" customHeight="1" spans="2:14" x14ac:dyDescent="0.25">
      <c r="B17" s="18" t="s">
        <v>259</v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</row>
    <row r="19" ht="30" customHeight="1" spans="2:4" x14ac:dyDescent="0.25">
      <c r="B19" s="25" t="s">
        <v>260</v>
      </c>
      <c r="C19" s="26" t="s">
        <v>261</v>
      </c>
      <c r="D19" s="26" t="s">
        <v>262</v>
      </c>
    </row>
    <row r="20" ht="19" customHeight="1" spans="2:4" x14ac:dyDescent="0.25">
      <c r="B20" s="30" t="s">
        <v>263</v>
      </c>
      <c r="C20" s="32" t="s">
        <v>264</v>
      </c>
      <c r="D20" s="32"/>
    </row>
    <row r="21" ht="19" customHeight="1" spans="2:4" x14ac:dyDescent="0.25">
      <c r="B21" s="27" t="s">
        <v>265</v>
      </c>
      <c r="C21" s="29" t="s">
        <v>266</v>
      </c>
      <c r="D21" s="29"/>
    </row>
    <row r="22" ht="19" customHeight="1" spans="2:4" x14ac:dyDescent="0.25">
      <c r="B22" s="30" t="s">
        <v>267</v>
      </c>
      <c r="C22" s="32" t="s">
        <v>268</v>
      </c>
      <c r="D22" s="32"/>
    </row>
    <row r="23" ht="19" customHeight="1" spans="2:4" x14ac:dyDescent="0.25">
      <c r="B23" s="27" t="s">
        <v>269</v>
      </c>
      <c r="C23" s="29" t="s">
        <v>270</v>
      </c>
      <c r="D23" s="29"/>
    </row>
    <row r="24" ht="19" customHeight="1" spans="2:4" x14ac:dyDescent="0.25">
      <c r="B24" s="30" t="s">
        <v>271</v>
      </c>
      <c r="C24" s="32" t="s">
        <v>272</v>
      </c>
      <c r="D24" s="32"/>
    </row>
    <row r="25" ht="19" customHeight="1" spans="2:4" x14ac:dyDescent="0.25">
      <c r="B25" s="27" t="s">
        <v>273</v>
      </c>
      <c r="C25" s="29" t="s">
        <v>274</v>
      </c>
      <c r="D25" s="29"/>
    </row>
    <row r="26" ht="19" customHeight="1" spans="2:4" x14ac:dyDescent="0.25">
      <c r="B26" s="30" t="s">
        <v>275</v>
      </c>
      <c r="C26" s="32" t="s">
        <v>276</v>
      </c>
      <c r="D26" s="32"/>
    </row>
    <row r="27" ht="19" customHeight="1" spans="2:4" x14ac:dyDescent="0.25">
      <c r="B27" s="27" t="s">
        <v>277</v>
      </c>
      <c r="C27" s="29" t="s">
        <v>278</v>
      </c>
      <c r="D27" s="29"/>
    </row>
    <row r="29" ht="24" customHeight="1" spans="2:14" x14ac:dyDescent="0.25">
      <c r="B29" s="18" t="s">
        <v>279</v>
      </c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</row>
    <row r="31" spans="2:3" x14ac:dyDescent="0.25">
      <c r="B31" t="s">
        <v>280</v>
      </c>
      <c r="C31" t="s">
        <v>281</v>
      </c>
    </row>
    <row r="32" spans="2:3" x14ac:dyDescent="0.25">
      <c r="B32" t="s">
        <v>282</v>
      </c>
      <c r="C32" t="s">
        <v>283</v>
      </c>
    </row>
    <row r="33" spans="2:3" x14ac:dyDescent="0.25">
      <c r="B33" t="s">
        <v>284</v>
      </c>
      <c r="C33" t="s">
        <v>2</v>
      </c>
    </row>
    <row r="34" spans="2:3" x14ac:dyDescent="0.25">
      <c r="B34" t="s">
        <v>67</v>
      </c>
      <c r="C34" t="s">
        <v>68</v>
      </c>
    </row>
    <row r="35" spans="2:3" x14ac:dyDescent="0.25">
      <c r="B35" t="s">
        <v>285</v>
      </c>
      <c r="C35" t="s">
        <v>286</v>
      </c>
    </row>
    <row r="36" spans="2:3" x14ac:dyDescent="0.25">
      <c r="B36" t="s">
        <v>287</v>
      </c>
      <c r="C36" t="s">
        <v>122</v>
      </c>
    </row>
    <row r="38" ht="24" customHeight="1" spans="2:14" x14ac:dyDescent="0.25">
      <c r="B38" s="18" t="s">
        <v>288</v>
      </c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</row>
    <row r="40" spans="2:14" x14ac:dyDescent="0.25">
      <c r="B40" s="23" t="s">
        <v>289</v>
      </c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</row>
    <row r="41" spans="2:14" x14ac:dyDescent="0.25">
      <c r="B41" s="23" t="s">
        <v>290</v>
      </c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</row>
    <row r="44" spans="2:14" x14ac:dyDescent="0.25">
      <c r="B44" s="35" t="s">
        <v>53</v>
      </c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</row>
  </sheetData>
  <autoFilter ref="B19:D19"/>
  <mergeCells count="9">
    <mergeCell ref="B2:N2"/>
    <mergeCell ref="B3:N3"/>
    <mergeCell ref="B5:N5"/>
    <mergeCell ref="B17:N17"/>
    <mergeCell ref="B29:N29"/>
    <mergeCell ref="B38:N38"/>
    <mergeCell ref="B40:N40"/>
    <mergeCell ref="B41:N41"/>
    <mergeCell ref="B44:N44"/>
  </mergeCells>
  <pageSetup paperSize="9" orientation="landscape" fitToWidth="1" fitToHeight="0"/>
  <headerFooter>
    <oddFooter>&amp;L&amp;8BuildFi Technologies inc.&amp;C&amp;8Page &amp;P /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00 - Couverture</vt:lpstr>
      <vt:lpstr>01 - README</vt:lpstr>
      <vt:lpstr>Sommaire</vt:lpstr>
      <vt:lpstr>Profil</vt:lpstr>
      <vt:lpstr>Projection déterministe</vt:lpstr>
      <vt:lpstr>Flux de trésorerie</vt:lpstr>
      <vt:lpstr>MC — Patrimoine</vt:lpstr>
      <vt:lpstr>Retraits détaillés</vt:lpstr>
      <vt:lpstr>Fiscalité</vt:lpstr>
      <vt:lpstr>Sensibilité &amp; Stress</vt:lpstr>
      <vt:lpstr>Succession</vt:lpstr>
      <vt:lpstr>Immobilier</vt:lpstr>
      <vt:lpstr>Entreprise (CCPC)</vt:lpstr>
      <vt:lpstr>Méthodologie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BuildFi Technologies inc.</dc:creator>
  <dc:title/>
  <dc:subject/>
  <dc:description/>
  <cp:keywords/>
  <cp:category/>
  <cp:lastModifiedBy>Unknown</cp:lastModifiedBy>
  <dcterms:created xsi:type="dcterms:W3CDTF">2026-04-17T09:23:02Z</dcterms:created>
  <dcterms:modified xsi:type="dcterms:W3CDTF">2026-04-17T09:23:02Z</dcterms:modified>
</cp:coreProperties>
</file>